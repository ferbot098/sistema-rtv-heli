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s\Documents\"/>
    </mc:Choice>
  </mc:AlternateContent>
  <xr:revisionPtr revIDLastSave="0" documentId="8_{A38B9D41-7581-4E2E-B851-EB745ACF64D0}" xr6:coauthVersionLast="47" xr6:coauthVersionMax="47" xr10:uidLastSave="{00000000-0000-0000-0000-000000000000}"/>
  <bookViews>
    <workbookView xWindow="-23148" yWindow="-108" windowWidth="23256" windowHeight="12456" xr2:uid="{D05472CC-792C-4DC6-80EC-023C347BE8A2}"/>
  </bookViews>
  <sheets>
    <sheet name="HOJA ESTADISTICA" sheetId="1" r:id="rId1"/>
  </sheets>
  <externalReferences>
    <externalReference r:id="rId2"/>
  </externalReferences>
  <definedNames>
    <definedName name="_xlnm.Print_Area" localSheetId="0">'HOJA ESTADISTICA'!$A$1:$BU$130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BG56" i="1"/>
  <c r="BG57" i="1" s="1"/>
  <c r="G56" i="1"/>
</calcChain>
</file>

<file path=xl/sharedStrings.xml><?xml version="1.0" encoding="utf-8"?>
<sst xmlns="http://schemas.openxmlformats.org/spreadsheetml/2006/main" count="128" uniqueCount="105">
  <si>
    <t>Código: FGO-18</t>
  </si>
  <si>
    <t>Pag 1 de 2</t>
  </si>
  <si>
    <t>Edición:
Octubre 2023</t>
  </si>
  <si>
    <t>Revisión:
1</t>
  </si>
  <si>
    <t>Fecha de Revisión:
Octubre 2025</t>
  </si>
  <si>
    <t>REGISTRO DE VUELO PARA ESTADISTICA DE LA EMPRESA Y LIBRO DE A BORDO DEL MI8/MI171</t>
  </si>
  <si>
    <t>Elaborado por:
Departamento de Vuelos</t>
  </si>
  <si>
    <t>Revisado por:
Jefe Departamento de vuelos</t>
  </si>
  <si>
    <t>Aprobado por:
Gerente de  Operaciones</t>
  </si>
  <si>
    <t>CONTRATISTA</t>
  </si>
  <si>
    <t>PLUSPETROL</t>
  </si>
  <si>
    <t>VUELO</t>
  </si>
  <si>
    <t>NO REGULAR</t>
  </si>
  <si>
    <t>BASE DE OPERACIÓN</t>
  </si>
  <si>
    <t>MALVINAS</t>
  </si>
  <si>
    <t>NACIONALIDAD Y MATRÍCULA</t>
  </si>
  <si>
    <t>PERÚ</t>
  </si>
  <si>
    <t>OB-2018P</t>
  </si>
  <si>
    <t>FECHA</t>
  </si>
  <si>
    <t>TRIPULACIÓN</t>
  </si>
  <si>
    <t>PIL</t>
  </si>
  <si>
    <t>GUTIERREZ VALLEJOS NELSON</t>
  </si>
  <si>
    <t>COP</t>
  </si>
  <si>
    <t>MARTINEZ GUTIERREZ JOSE</t>
  </si>
  <si>
    <t>MAB/IV</t>
  </si>
  <si>
    <t>IVAN CASTILLO CASTILLO</t>
  </si>
  <si>
    <t>N°</t>
  </si>
  <si>
    <t>HORA</t>
  </si>
  <si>
    <t>QNH</t>
  </si>
  <si>
    <t>T°</t>
  </si>
  <si>
    <t>ARRANQUE</t>
  </si>
  <si>
    <t>APAGADO</t>
  </si>
  <si>
    <t>TIEMPO</t>
  </si>
  <si>
    <t>OBSERVACIONES</t>
  </si>
  <si>
    <t>CONEC BUR</t>
  </si>
  <si>
    <t>mm/hg</t>
  </si>
  <si>
    <t>AMB</t>
  </si>
  <si>
    <t>COMB</t>
  </si>
  <si>
    <t>TIERRA</t>
  </si>
  <si>
    <t>SIMB</t>
  </si>
  <si>
    <t>REC.
COMB</t>
  </si>
  <si>
    <t>PAX</t>
  </si>
  <si>
    <t>CARGA</t>
  </si>
  <si>
    <t>DESPEGUE</t>
  </si>
  <si>
    <t>ATERRIZAJE</t>
  </si>
  <si>
    <t>Tiempo en tierra.</t>
  </si>
  <si>
    <t>Cod Dem.</t>
  </si>
  <si>
    <t>INT</t>
  </si>
  <si>
    <t>EXT</t>
  </si>
  <si>
    <t>LUGAR</t>
  </si>
  <si>
    <t>COMB (lt)</t>
  </si>
  <si>
    <t>*Combustible , La aeronave debe de aterrizar con no menos de: 600 litros para travesías y 445 litros en trasteo ( carga externa y pax).</t>
  </si>
  <si>
    <t>Libro de a Bordo</t>
  </si>
  <si>
    <t>Incidencias, Obsevaciones</t>
  </si>
  <si>
    <t>:</t>
  </si>
  <si>
    <t>PILOTO</t>
  </si>
  <si>
    <t>COPILOTO</t>
  </si>
  <si>
    <t>TVC</t>
  </si>
  <si>
    <t>NOMBRE</t>
  </si>
  <si>
    <t>TVNC</t>
  </si>
  <si>
    <t>N° LIC</t>
  </si>
  <si>
    <t>CÓDIGO</t>
  </si>
  <si>
    <t>Código: FGO-018</t>
  </si>
  <si>
    <t>Pag 2 de 2</t>
  </si>
  <si>
    <t>Revisión: 
1</t>
  </si>
  <si>
    <t>REGISTRO DE VUELO PARA ESTADISTICA DE LA EMPRESA/LIBRO DE A BORDO</t>
  </si>
  <si>
    <t>ANOTACIONES OPERACIONALES</t>
  </si>
  <si>
    <t>1.-</t>
  </si>
  <si>
    <t>2.-</t>
  </si>
  <si>
    <t>3.-</t>
  </si>
  <si>
    <t>4.-</t>
  </si>
  <si>
    <t>5.-</t>
  </si>
  <si>
    <t>6.-</t>
  </si>
  <si>
    <t>Cod.</t>
  </si>
  <si>
    <t>DEMORAS EN VUELO</t>
  </si>
  <si>
    <t>a</t>
  </si>
  <si>
    <t>Demora por Tráfico en el punto de partida/llegada</t>
  </si>
  <si>
    <t>b</t>
  </si>
  <si>
    <t>Demora por reconocimiento alto y detallado del DZ, identificación del viento.</t>
  </si>
  <si>
    <t xml:space="preserve">c </t>
  </si>
  <si>
    <t>Demora por configuración de Carga Externa no Aerodinámica</t>
  </si>
  <si>
    <t>d</t>
  </si>
  <si>
    <t>Demora por reducción de Velocidad por Carga Inestable.</t>
  </si>
  <si>
    <t>e</t>
  </si>
  <si>
    <t>Demora por Desvio de la ruta prevista por CCMM adversas.</t>
  </si>
  <si>
    <t>f</t>
  </si>
  <si>
    <t>Demora por Desvio de la ruta prevista por Tráfico en la zona (Holding, patron de espera, etc)</t>
  </si>
  <si>
    <t>g</t>
  </si>
  <si>
    <t>Demoras durante enganche/desenganche de la Carga (Traslado, Carga especial, pesada, viento cambiante, temperatura, cuadrilla reducida,etc)</t>
  </si>
  <si>
    <t>h</t>
  </si>
  <si>
    <t>Demora por Intensidad de Viento de frente/Cruzado que afecta la aerodinámica del Vuelo</t>
  </si>
  <si>
    <t>i</t>
  </si>
  <si>
    <t>Demoras por Instrucciones de Tierra para preparación/recepción de la Carga, movimientos internos.</t>
  </si>
  <si>
    <t>j</t>
  </si>
  <si>
    <t>Demora por reducción de la Velocidad prevista de Vuelo por disminución de la Visibilidad, Peligro aviario, etc.</t>
  </si>
  <si>
    <t>k</t>
  </si>
  <si>
    <t>Demoras por reconocimiento detallado del punto enganche/desenganche, coordinaciones con Tierra, sobrevuelo.</t>
  </si>
  <si>
    <t>l</t>
  </si>
  <si>
    <t>Demoras en el embarque/desembarque de los pasajeros, equipajes, carga y correo</t>
  </si>
  <si>
    <t>ll</t>
  </si>
  <si>
    <t>Demoras por cambio del Plan de Vuelo por el Cliente</t>
  </si>
  <si>
    <t>m</t>
  </si>
  <si>
    <t>Otros:</t>
  </si>
  <si>
    <t>n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</si>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</sst>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4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16"/>
      <color rgb="FFFF000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10"/>
      <color rgb="FFFF0000"/>
      <name val="Calibri"/>
      <family val="2"/>
    </font>
    <font>
      <b/>
      <sz val="13"/>
      <color rgb="FFFF0000"/>
      <name val="Calibri"/>
      <family val="2"/>
    </font>
    <font>
      <sz val="13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6"/>
      <color rgb="FFFF0000"/>
      <name val="Calibri"/>
      <family val="2"/>
    </font>
    <font>
      <sz val="14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4" borderId="20" xfId="0" applyFont="1" applyFill="1" applyBorder="1" applyAlignment="1" applyProtection="1">
      <alignment horizontal="center" vertical="center"/>
      <protection locked="0"/>
    </xf>
    <xf numFmtId="0" fontId="5" fillId="4" borderId="21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0" fontId="8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21" xfId="0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6" borderId="20" xfId="0" applyFont="1" applyFill="1" applyBorder="1" applyAlignment="1" applyProtection="1">
      <alignment horizontal="center" vertical="center"/>
      <protection locked="0"/>
    </xf>
    <xf numFmtId="0" fontId="5" fillId="6" borderId="21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4" fontId="10" fillId="0" borderId="8" xfId="0" applyNumberFormat="1" applyFont="1" applyBorder="1" applyAlignment="1" applyProtection="1">
      <alignment horizontal="center" vertical="center"/>
      <protection locked="0"/>
    </xf>
    <xf numFmtId="0" fontId="11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6" borderId="0" xfId="0" applyFont="1" applyFill="1" applyAlignment="1" applyProtection="1">
      <alignment horizontal="center" vertical="center"/>
      <protection locked="0"/>
    </xf>
    <xf numFmtId="0" fontId="4" fillId="0" borderId="24" xfId="0" applyFont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5" fillId="4" borderId="22" xfId="0" applyFont="1" applyFill="1" applyBorder="1" applyAlignment="1" applyProtection="1">
      <alignment horizontal="center" vertical="center"/>
      <protection locked="0"/>
    </xf>
    <xf numFmtId="0" fontId="12" fillId="6" borderId="20" xfId="0" applyFont="1" applyFill="1" applyBorder="1" applyAlignment="1" applyProtection="1">
      <alignment horizontal="left" vertical="center"/>
      <protection locked="0"/>
    </xf>
    <xf numFmtId="0" fontId="12" fillId="6" borderId="21" xfId="0" applyFont="1" applyFill="1" applyBorder="1" applyAlignment="1" applyProtection="1">
      <alignment horizontal="left" vertical="center"/>
      <protection locked="0"/>
    </xf>
    <xf numFmtId="0" fontId="12" fillId="6" borderId="22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left" vertical="center"/>
      <protection locked="0"/>
    </xf>
    <xf numFmtId="0" fontId="12" fillId="0" borderId="21" xfId="0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left" vertical="center"/>
      <protection locked="0"/>
    </xf>
    <xf numFmtId="0" fontId="11" fillId="0" borderId="0" xfId="0" applyFont="1"/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8" fillId="4" borderId="37" xfId="0" applyFont="1" applyFill="1" applyBorder="1" applyAlignment="1">
      <alignment horizontal="center" vertical="center"/>
    </xf>
    <xf numFmtId="0" fontId="18" fillId="4" borderId="38" xfId="0" applyFont="1" applyFill="1" applyBorder="1" applyAlignment="1">
      <alignment horizontal="center" vertical="center"/>
    </xf>
    <xf numFmtId="0" fontId="14" fillId="4" borderId="38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25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45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46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/>
      <protection locked="0"/>
    </xf>
    <xf numFmtId="0" fontId="8" fillId="5" borderId="8" xfId="0" applyFont="1" applyFill="1" applyBorder="1" applyAlignment="1" applyProtection="1">
      <alignment horizontal="center"/>
      <protection locked="0"/>
    </xf>
    <xf numFmtId="0" fontId="8" fillId="5" borderId="20" xfId="0" applyFont="1" applyFill="1" applyBorder="1" applyAlignment="1" applyProtection="1">
      <alignment horizont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center" vertical="center"/>
      <protection locked="0"/>
    </xf>
    <xf numFmtId="0" fontId="4" fillId="0" borderId="49" xfId="0" applyFont="1" applyBorder="1" applyAlignment="1" applyProtection="1">
      <alignment horizontal="center" vertical="center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20" fillId="4" borderId="51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20" fillId="4" borderId="3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2" fillId="4" borderId="28" xfId="0" applyFont="1" applyFill="1" applyBorder="1" applyAlignment="1" applyProtection="1">
      <alignment horizontal="center" vertical="center" wrapText="1"/>
      <protection locked="0"/>
    </xf>
    <xf numFmtId="0" fontId="22" fillId="4" borderId="27" xfId="0" applyFont="1" applyFill="1" applyBorder="1" applyAlignment="1" applyProtection="1">
      <alignment horizontal="center" vertical="center" wrapText="1"/>
      <protection locked="0"/>
    </xf>
    <xf numFmtId="0" fontId="16" fillId="4" borderId="5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9" fillId="4" borderId="53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21" fillId="4" borderId="32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0" fontId="15" fillId="4" borderId="47" xfId="0" applyFont="1" applyFill="1" applyBorder="1" applyAlignment="1" applyProtection="1">
      <alignment horizontal="center" vertical="center"/>
      <protection locked="0"/>
    </xf>
    <xf numFmtId="0" fontId="15" fillId="4" borderId="48" xfId="0" applyFont="1" applyFill="1" applyBorder="1" applyAlignment="1" applyProtection="1">
      <alignment horizontal="center" vertical="center"/>
      <protection locked="0"/>
    </xf>
    <xf numFmtId="0" fontId="15" fillId="4" borderId="49" xfId="0" applyFont="1" applyFill="1" applyBorder="1" applyAlignment="1" applyProtection="1">
      <alignment horizontal="center" vertical="center"/>
      <protection locked="0"/>
    </xf>
    <xf numFmtId="0" fontId="15" fillId="4" borderId="55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 applyProtection="1">
      <alignment horizontal="center" vertical="center"/>
      <protection locked="0"/>
    </xf>
    <xf numFmtId="0" fontId="17" fillId="4" borderId="16" xfId="0" applyFont="1" applyFill="1" applyBorder="1" applyAlignment="1" applyProtection="1">
      <alignment horizontal="center" vertical="center"/>
      <protection locked="0"/>
    </xf>
    <xf numFmtId="0" fontId="17" fillId="4" borderId="19" xfId="0" applyFont="1" applyFill="1" applyBorder="1" applyAlignment="1" applyProtection="1">
      <alignment horizontal="center" vertical="center"/>
      <protection locked="0"/>
    </xf>
    <xf numFmtId="0" fontId="22" fillId="4" borderId="15" xfId="0" applyFont="1" applyFill="1" applyBorder="1" applyAlignment="1" applyProtection="1">
      <alignment horizontal="center" vertical="center" wrapText="1"/>
      <protection locked="0"/>
    </xf>
    <xf numFmtId="0" fontId="22" fillId="4" borderId="19" xfId="0" applyFont="1" applyFill="1" applyBorder="1" applyAlignment="1" applyProtection="1">
      <alignment horizontal="center" vertical="center" wrapText="1"/>
      <protection locked="0"/>
    </xf>
    <xf numFmtId="0" fontId="16" fillId="4" borderId="56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57" xfId="0" applyFont="1" applyBorder="1" applyAlignment="1" applyProtection="1">
      <alignment horizontal="center" vertical="center"/>
      <protection locked="0"/>
    </xf>
    <xf numFmtId="0" fontId="4" fillId="0" borderId="58" xfId="0" applyFont="1" applyBorder="1" applyAlignment="1" applyProtection="1">
      <alignment horizontal="center" vertical="center"/>
      <protection locked="0"/>
    </xf>
    <xf numFmtId="0" fontId="4" fillId="0" borderId="59" xfId="0" applyFont="1" applyBorder="1" applyAlignment="1">
      <alignment vertical="center"/>
    </xf>
    <xf numFmtId="0" fontId="11" fillId="0" borderId="9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58" xfId="0" applyFont="1" applyBorder="1" applyAlignment="1" applyProtection="1">
      <alignment horizontal="center" vertical="center"/>
      <protection locked="0"/>
    </xf>
    <xf numFmtId="0" fontId="4" fillId="0" borderId="60" xfId="0" applyFont="1" applyBorder="1" applyAlignment="1" applyProtection="1">
      <alignment horizontal="center" vertical="center"/>
      <protection locked="0"/>
    </xf>
    <xf numFmtId="0" fontId="23" fillId="7" borderId="50" xfId="0" applyFont="1" applyFill="1" applyBorder="1" applyAlignment="1" applyProtection="1">
      <alignment horizontal="center" vertical="center"/>
      <protection locked="0"/>
    </xf>
    <xf numFmtId="0" fontId="24" fillId="7" borderId="48" xfId="0" applyFont="1" applyFill="1" applyBorder="1" applyAlignment="1" applyProtection="1">
      <alignment horizontal="center" vertical="center"/>
      <protection locked="0"/>
    </xf>
    <xf numFmtId="0" fontId="24" fillId="7" borderId="49" xfId="0" applyFont="1" applyFill="1" applyBorder="1" applyAlignment="1" applyProtection="1">
      <alignment horizontal="center" vertical="center"/>
      <protection locked="0"/>
    </xf>
    <xf numFmtId="0" fontId="16" fillId="4" borderId="28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26" xfId="0" applyFont="1" applyBorder="1" applyAlignment="1">
      <alignment vertical="center"/>
    </xf>
    <xf numFmtId="0" fontId="25" fillId="4" borderId="15" xfId="0" applyFont="1" applyFill="1" applyBorder="1" applyAlignment="1">
      <alignment horizontal="center"/>
    </xf>
    <xf numFmtId="0" fontId="25" fillId="4" borderId="16" xfId="0" applyFont="1" applyFill="1" applyBorder="1" applyAlignment="1">
      <alignment horizontal="center"/>
    </xf>
    <xf numFmtId="0" fontId="25" fillId="4" borderId="19" xfId="0" applyFont="1" applyFill="1" applyBorder="1" applyAlignment="1">
      <alignment horizontal="center"/>
    </xf>
    <xf numFmtId="0" fontId="5" fillId="0" borderId="24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61" xfId="0" applyFont="1" applyBorder="1" applyAlignment="1">
      <alignment horizontal="center" vertical="center"/>
    </xf>
    <xf numFmtId="0" fontId="3" fillId="0" borderId="61" xfId="0" applyFont="1" applyBorder="1" applyAlignment="1" applyProtection="1">
      <alignment horizontal="center"/>
      <protection locked="0"/>
    </xf>
    <xf numFmtId="0" fontId="7" fillId="0" borderId="6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shrinkToFit="1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58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57" xfId="0" applyBorder="1" applyAlignment="1" applyProtection="1">
      <alignment horizontal="left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29" fillId="0" borderId="12" xfId="0" applyFont="1" applyBorder="1" applyAlignment="1" applyProtection="1">
      <alignment horizontal="left" vertical="center" wrapText="1"/>
      <protection locked="0"/>
    </xf>
    <xf numFmtId="0" fontId="28" fillId="0" borderId="58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9" fillId="0" borderId="58" xfId="0" applyFont="1" applyBorder="1" applyAlignment="1" applyProtection="1">
      <alignment horizontal="left" vertical="center" wrapText="1"/>
      <protection locked="0"/>
    </xf>
    <xf numFmtId="0" fontId="29" fillId="0" borderId="24" xfId="0" applyFont="1" applyBorder="1" applyAlignment="1" applyProtection="1">
      <alignment horizontal="left" vertical="center" wrapText="1"/>
      <protection locked="0"/>
    </xf>
    <xf numFmtId="0" fontId="29" fillId="0" borderId="57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27516</xdr:colOff>
      <xdr:row>0</xdr:row>
      <xdr:rowOff>88245</xdr:rowOff>
    </xdr:from>
    <xdr:to>
      <xdr:col>18</xdr:col>
      <xdr:colOff>30269</xdr:colOff>
      <xdr:row>2</xdr:row>
      <xdr:rowOff>148612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AC80ED-83EE-40AF-A790-454B91EC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961" y="86340"/>
          <a:ext cx="1263863" cy="481372"/>
        </a:xfrm>
        <a:prstGeom prst="rect">
          <a:avLst/>
        </a:prstGeom>
      </xdr:spPr>
    </xdr:pic>
    <xdr:clientData/>
  </xdr:twoCellAnchor>
  <xdr:oneCellAnchor>
    <xdr:from>
      <xdr:col>3</xdr:col>
      <xdr:colOff>76200</xdr:colOff>
      <xdr:row>57</xdr:row>
      <xdr:rowOff>47625</xdr:rowOff>
    </xdr:from>
    <xdr:ext cx="2507457" cy="740569"/>
    <xdr:pic>
      <xdr:nvPicPr>
        <xdr:cNvPr id="3" name="Imagen 2">
          <a:extLst>
            <a:ext uri="{FF2B5EF4-FFF2-40B4-BE49-F238E27FC236}">
              <a16:creationId xmlns:a16="http://schemas.microsoft.com/office/drawing/2014/main" id="{81575DD5-0A65-4719-8272-02263E5B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15293340"/>
          <a:ext cx="2507457" cy="74056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ENOVO/Desktop/PROYECTO%20RTV%20Y%20HE/FGO_018_Reg.%20vuelo%20Estad.%20Empresa%20RVEE_MI8_171_REV%201%20.xlsx" TargetMode="External"/><Relationship Id="rId2" Type="http://schemas.openxmlformats.org/officeDocument/2006/relationships/externalLinkPath" Target="file:///C:\C:\Users\LENOVO\Desktop\PROYECTO%20RTV%20Y%20HE\FGO_018_Reg.%20vuelo%20Estad.%20Empresa%20RVEE_MI8_171_REV%201%20.xlsx" TargetMode="External"/><Relationship Id="rId1" Type="http://schemas.openxmlformats.org/officeDocument/2006/relationships/externalLinkPath" Target="/Users/LENOVO/Desktop/PROYECTO%20RTV%20Y%20HE/FGO_018_Reg.%20vuelo%20Estad.%20Empresa%20RVEE_MI8_171_REV%20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VEE"/>
      <sheetName val="Hoja1"/>
    </sheetNames>
    <sheetDataSet>
      <sheetData sheetId="0"/>
      <sheetData sheetId="1">
        <row r="2">
          <cell r="K2" t="str">
            <v>ABARCA RABINES DELVIS</v>
          </cell>
          <cell r="L2" t="str">
            <v>PCH-632</v>
          </cell>
        </row>
        <row r="3">
          <cell r="K3"/>
          <cell r="L3"/>
        </row>
        <row r="4">
          <cell r="K4" t="str">
            <v>BELLINA MONTORO BORIS</v>
          </cell>
          <cell r="L4" t="str">
            <v>TLAH-083</v>
          </cell>
        </row>
        <row r="5">
          <cell r="K5" t="str">
            <v>CARRILLO VILLEGAS VICTOR</v>
          </cell>
          <cell r="L5" t="str">
            <v>PCH 601</v>
          </cell>
        </row>
        <row r="6">
          <cell r="K6" t="str">
            <v>CASTAÑEDA TIRADO MANUEL</v>
          </cell>
          <cell r="L6" t="str">
            <v>TLA-117</v>
          </cell>
        </row>
        <row r="7">
          <cell r="K7" t="str">
            <v>CERVERA GÁLVEZ JOVAN</v>
          </cell>
          <cell r="L7" t="str">
            <v>PCH  634</v>
          </cell>
        </row>
        <row r="8">
          <cell r="K8" t="str">
            <v xml:space="preserve">COA BAÑOS JUAN CARLOS  </v>
          </cell>
          <cell r="L8" t="str">
            <v>PCH-651</v>
          </cell>
        </row>
        <row r="9">
          <cell r="K9"/>
          <cell r="L9"/>
        </row>
        <row r="10">
          <cell r="K10" t="str">
            <v>DINIZ MANSILLA FERNANDO</v>
          </cell>
          <cell r="L10" t="str">
            <v>PCH-558</v>
          </cell>
        </row>
        <row r="11">
          <cell r="K11" t="str">
            <v>GARCIA SOTO JORGE ALEJANDRO</v>
          </cell>
          <cell r="L11" t="str">
            <v>PCH-595</v>
          </cell>
        </row>
        <row r="12">
          <cell r="K12" t="str">
            <v>GUERRA CALLE FELIPE</v>
          </cell>
          <cell r="L12" t="str">
            <v>PCH-633</v>
          </cell>
        </row>
        <row r="13">
          <cell r="K13"/>
          <cell r="L13"/>
        </row>
        <row r="14">
          <cell r="K14" t="str">
            <v>GUTIERREZ VALLEJOS NELSON</v>
          </cell>
          <cell r="L14" t="str">
            <v>PCH-577</v>
          </cell>
        </row>
        <row r="15">
          <cell r="K15" t="str">
            <v>LONCHARICH CHILÓN CARLOS</v>
          </cell>
          <cell r="L15" t="str">
            <v>PCH-592</v>
          </cell>
        </row>
        <row r="16">
          <cell r="K16" t="str">
            <v>LUZARDO BALCAZAR HENRY</v>
          </cell>
          <cell r="L16" t="str">
            <v>PCH 610</v>
          </cell>
        </row>
        <row r="17">
          <cell r="K17" t="str">
            <v>MALCA CÓRDOVA JESÚS</v>
          </cell>
          <cell r="L17" t="str">
            <v>PCH-597</v>
          </cell>
        </row>
        <row r="18">
          <cell r="K18" t="str">
            <v>MARIACA OBLITAS SOFIA</v>
          </cell>
          <cell r="L18" t="str">
            <v>PCH-621</v>
          </cell>
        </row>
        <row r="19">
          <cell r="K19" t="str">
            <v>MARTINEZ DE P.QUIÑONES CARLOS</v>
          </cell>
          <cell r="L19" t="str">
            <v>PCH-587</v>
          </cell>
        </row>
        <row r="20">
          <cell r="K20" t="str">
            <v>MIRANDA PAHUACHO CHRISTIAN</v>
          </cell>
          <cell r="L20" t="str">
            <v>PCH-572</v>
          </cell>
        </row>
        <row r="21">
          <cell r="K21" t="str">
            <v>OBLITAS BEJARANO NEPPY</v>
          </cell>
          <cell r="L21" t="str">
            <v>PCH 606</v>
          </cell>
        </row>
        <row r="22">
          <cell r="K22" t="str">
            <v>PÉREZ BACA MARCO POLO</v>
          </cell>
          <cell r="L22" t="str">
            <v>TLA-071</v>
          </cell>
        </row>
        <row r="23">
          <cell r="K23" t="str">
            <v xml:space="preserve">PÉREZ ROJAS OSCAR </v>
          </cell>
          <cell r="L23" t="str">
            <v>PCH-505</v>
          </cell>
        </row>
        <row r="24">
          <cell r="K24"/>
          <cell r="L24"/>
        </row>
        <row r="25">
          <cell r="K25" t="str">
            <v>QUINTANA USQUIANO VÍCTOR</v>
          </cell>
          <cell r="L25" t="str">
            <v>PCH-398</v>
          </cell>
        </row>
        <row r="26">
          <cell r="K26" t="str">
            <v>REATEGUI BARRÓN EDDIE</v>
          </cell>
          <cell r="L26" t="str">
            <v>PCH-540</v>
          </cell>
        </row>
        <row r="27">
          <cell r="K27" t="str">
            <v>REATEGUI WENINGER CARLOS</v>
          </cell>
          <cell r="L27" t="str">
            <v>TLA-104</v>
          </cell>
        </row>
        <row r="28">
          <cell r="K28" t="str">
            <v>RODRIGUEZ BANDA CARLOS</v>
          </cell>
          <cell r="L28" t="str">
            <v>PCH-662</v>
          </cell>
        </row>
        <row r="29">
          <cell r="K29" t="str">
            <v>RODRIGUEZ GUTIERREZ RENZO</v>
          </cell>
          <cell r="L29" t="str">
            <v>PCH-560</v>
          </cell>
        </row>
        <row r="30">
          <cell r="K30" t="str">
            <v>ROJAS ANDÍA ROBERTO</v>
          </cell>
          <cell r="L30" t="str">
            <v>PCH-622</v>
          </cell>
        </row>
        <row r="31">
          <cell r="K31"/>
          <cell r="L31"/>
        </row>
        <row r="32">
          <cell r="K32" t="str">
            <v>SANTTI FEBRES DIEGO</v>
          </cell>
          <cell r="L32" t="str">
            <v>PCH-665</v>
          </cell>
        </row>
        <row r="33">
          <cell r="K33" t="str">
            <v>TERRONES REYNAFARJE LUIS</v>
          </cell>
          <cell r="L33" t="str">
            <v>PCH-593</v>
          </cell>
        </row>
        <row r="34">
          <cell r="K34" t="str">
            <v xml:space="preserve">VALDIVIA MOYANO, CARLOS </v>
          </cell>
          <cell r="L34" t="str">
            <v>PCH-675</v>
          </cell>
        </row>
        <row r="35">
          <cell r="K35" t="str">
            <v>VALLEJOS BAZÁN CLAUDIO</v>
          </cell>
          <cell r="L35" t="str">
            <v>PCH-669</v>
          </cell>
        </row>
        <row r="36">
          <cell r="K36" t="str">
            <v>VELARDE VALDIVIA HERBERT</v>
          </cell>
          <cell r="L36" t="str">
            <v>PCH-631</v>
          </cell>
        </row>
        <row r="37">
          <cell r="K37" t="str">
            <v>MARTINEZ GUTIERREZ JOSE</v>
          </cell>
          <cell r="L37" t="str">
            <v>PCH-689</v>
          </cell>
        </row>
        <row r="38">
          <cell r="K38" t="str">
            <v>VILLA YARLEQUÉ VICTOR</v>
          </cell>
          <cell r="L38" t="str">
            <v>PCH-653</v>
          </cell>
        </row>
        <row r="39">
          <cell r="K39" t="str">
            <v>ZEBALLOS KOC JOSÉ ANTONIO</v>
          </cell>
          <cell r="L39" t="str">
            <v>PCH-530</v>
          </cell>
        </row>
        <row r="40">
          <cell r="K40"/>
          <cell r="L40"/>
        </row>
        <row r="41">
          <cell r="K41"/>
          <cell r="L41"/>
        </row>
        <row r="42">
          <cell r="K42"/>
          <cell r="L42"/>
        </row>
        <row r="43">
          <cell r="K43"/>
          <cell r="L43"/>
        </row>
        <row r="44">
          <cell r="K44"/>
          <cell r="L44"/>
        </row>
        <row r="45">
          <cell r="K45"/>
          <cell r="L45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225E-F420-4BA6-B96A-D7BF1EB60C60}">
  <dimension ref="A1:BW130"/>
  <sheetViews>
    <sheetView tabSelected="1" view="pageBreakPreview" topLeftCell="A31" zoomScale="70" zoomScaleNormal="90" zoomScaleSheetLayoutView="70" workbookViewId="0">
      <selection activeCell="G57" sqref="G57:U57"/>
    </sheetView>
  </sheetViews>
  <sheetFormatPr baseColWidth="10" defaultColWidth="10.7109375" defaultRowHeight="15" x14ac:dyDescent="0.25"/>
  <cols>
    <col min="1" max="4" width="1.28515625" customWidth="1"/>
    <col min="5" max="5" width="4.5703125" customWidth="1"/>
    <col min="6" max="8" width="1.28515625" customWidth="1"/>
    <col min="9" max="9" width="3.42578125" customWidth="1"/>
    <col min="10" max="12" width="1.28515625" customWidth="1"/>
    <col min="13" max="14" width="3.42578125" customWidth="1"/>
    <col min="15" max="18" width="1.28515625" customWidth="1"/>
    <col min="19" max="19" width="3.42578125" customWidth="1"/>
    <col min="20" max="22" width="1.28515625" customWidth="1"/>
    <col min="23" max="23" width="3.5703125" customWidth="1"/>
    <col min="24" max="29" width="1.28515625" customWidth="1"/>
    <col min="30" max="30" width="3.42578125" customWidth="1"/>
    <col min="31" max="33" width="1.28515625" customWidth="1"/>
    <col min="34" max="34" width="6.42578125" customWidth="1"/>
    <col min="35" max="35" width="1.28515625" customWidth="1"/>
    <col min="36" max="36" width="3.42578125" customWidth="1"/>
    <col min="37" max="38" width="1.28515625" customWidth="1"/>
    <col min="39" max="39" width="3.42578125" customWidth="1"/>
    <col min="40" max="42" width="1.28515625" customWidth="1"/>
    <col min="43" max="43" width="3.42578125" customWidth="1"/>
    <col min="44" max="48" width="1.28515625" customWidth="1"/>
    <col min="49" max="49" width="7.28515625" customWidth="1"/>
    <col min="50" max="50" width="5.42578125" customWidth="1"/>
    <col min="51" max="54" width="1.28515625" customWidth="1"/>
    <col min="55" max="55" width="5.7109375" customWidth="1"/>
    <col min="56" max="62" width="1.28515625" customWidth="1"/>
    <col min="63" max="63" width="5.5703125" customWidth="1"/>
    <col min="64" max="64" width="1.28515625" customWidth="1"/>
    <col min="65" max="65" width="4.7109375" customWidth="1"/>
    <col min="66" max="66" width="0.28515625" customWidth="1"/>
    <col min="67" max="70" width="1.28515625" customWidth="1"/>
    <col min="71" max="71" width="7.42578125" customWidth="1"/>
    <col min="72" max="72" width="1.28515625" customWidth="1"/>
    <col min="73" max="73" width="8.42578125" customWidth="1"/>
    <col min="74" max="74" width="1.28515625" customWidth="1"/>
  </cols>
  <sheetData>
    <row r="1" spans="1:75" ht="18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 t="s">
        <v>0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5"/>
      <c r="BA1" s="3" t="s">
        <v>1</v>
      </c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6"/>
      <c r="BV1" s="7"/>
      <c r="BW1" s="7"/>
    </row>
    <row r="2" spans="1:75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  <c r="AB2" s="11" t="s">
        <v>2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1" t="s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1" t="s">
        <v>4</v>
      </c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3"/>
      <c r="BV2" s="7"/>
      <c r="BW2" s="7"/>
    </row>
    <row r="3" spans="1:75" x14ac:dyDescent="0.25">
      <c r="A3" s="8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3"/>
      <c r="BV3" s="14"/>
      <c r="BW3" s="14"/>
    </row>
    <row r="4" spans="1:75" ht="23.25" x14ac:dyDescent="0.35">
      <c r="A4" s="15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7"/>
      <c r="BV4" s="7"/>
      <c r="BW4" s="7"/>
    </row>
    <row r="5" spans="1:75" x14ac:dyDescent="0.25">
      <c r="A5" s="18" t="s">
        <v>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  <c r="AB5" s="21" t="s">
        <v>7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20"/>
      <c r="BA5" s="21" t="s">
        <v>8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22"/>
      <c r="BV5" s="7"/>
      <c r="BW5" s="7"/>
    </row>
    <row r="6" spans="1:75" ht="15.75" thickBot="1" x14ac:dyDescent="0.3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  <c r="AB6" s="26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5"/>
      <c r="BA6" s="26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7"/>
      <c r="BV6" s="14"/>
      <c r="BW6" s="14"/>
    </row>
    <row r="7" spans="1:75" ht="6" customHeight="1" x14ac:dyDescent="0.25">
      <c r="BV7" s="14"/>
      <c r="BW7" s="14"/>
    </row>
    <row r="8" spans="1:75" ht="18.75" x14ac:dyDescent="0.25">
      <c r="A8" s="28" t="s">
        <v>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1"/>
      <c r="O8" s="32" t="s">
        <v>10</v>
      </c>
      <c r="P8" s="33"/>
      <c r="Q8" s="33"/>
      <c r="R8" s="33"/>
      <c r="S8" s="33"/>
      <c r="T8" s="33"/>
      <c r="U8" s="33"/>
      <c r="V8" s="33"/>
      <c r="W8" s="33"/>
      <c r="X8" s="33"/>
      <c r="Y8" s="34"/>
      <c r="Z8" s="35" t="s">
        <v>11</v>
      </c>
      <c r="AA8" s="36"/>
      <c r="AB8" s="36"/>
      <c r="AC8" s="36"/>
      <c r="AD8" s="36"/>
      <c r="AE8" s="32" t="s">
        <v>12</v>
      </c>
      <c r="AF8" s="33"/>
      <c r="AG8" s="33"/>
      <c r="AH8" s="33"/>
      <c r="AI8" s="33"/>
      <c r="AJ8" s="33"/>
      <c r="AK8" s="34"/>
      <c r="AL8" s="7"/>
      <c r="AM8" s="7"/>
      <c r="AN8" s="14"/>
      <c r="AO8" s="14"/>
      <c r="AP8" s="37" t="s">
        <v>13</v>
      </c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8"/>
      <c r="BE8" s="39"/>
      <c r="BF8" s="40" t="s">
        <v>14</v>
      </c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39"/>
      <c r="BW8" s="14"/>
    </row>
    <row r="9" spans="1:75" ht="6" customHeight="1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O9" s="4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14"/>
      <c r="BF9" s="14"/>
      <c r="BG9" s="14"/>
      <c r="BH9" s="14"/>
      <c r="BI9" s="14"/>
      <c r="BJ9" s="14"/>
      <c r="BK9" s="4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spans="1:75" ht="18.75" x14ac:dyDescent="0.25">
      <c r="A10" s="45" t="s">
        <v>15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2"/>
      <c r="O10" s="46" t="s">
        <v>16</v>
      </c>
      <c r="P10" s="47"/>
      <c r="Q10" s="47"/>
      <c r="R10" s="47"/>
      <c r="S10" s="47"/>
      <c r="T10" s="47"/>
      <c r="U10" s="47"/>
      <c r="V10" s="47"/>
      <c r="W10" s="47"/>
      <c r="X10" s="47"/>
      <c r="Y10" s="48"/>
      <c r="Z10" s="49" t="s">
        <v>17</v>
      </c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1"/>
      <c r="AL10" s="52"/>
      <c r="AM10" s="52"/>
      <c r="AN10" s="14"/>
      <c r="AO10" s="14"/>
      <c r="AP10" s="37" t="s">
        <v>18</v>
      </c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14"/>
      <c r="BF10" s="53">
        <v>45211</v>
      </c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39"/>
      <c r="BW10" s="14"/>
    </row>
    <row r="11" spans="1:75" ht="6" customHeight="1" x14ac:dyDescent="0.2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42"/>
      <c r="M11" s="55"/>
      <c r="N11" s="55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7"/>
      <c r="BW11" s="7"/>
    </row>
    <row r="12" spans="1:75" ht="18.75" x14ac:dyDescent="0.25">
      <c r="A12" s="58" t="s">
        <v>19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5"/>
      <c r="M12" s="14"/>
      <c r="N12" s="35" t="s">
        <v>20</v>
      </c>
      <c r="O12" s="36"/>
      <c r="P12" s="59"/>
      <c r="Q12" s="60" t="s">
        <v>21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2"/>
      <c r="AF12" s="55"/>
      <c r="AG12" s="14"/>
      <c r="AH12" s="63" t="s">
        <v>22</v>
      </c>
      <c r="AI12" s="64" t="s">
        <v>23</v>
      </c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6"/>
      <c r="AZ12" s="7"/>
      <c r="BA12" s="14"/>
      <c r="BB12" s="35" t="s">
        <v>24</v>
      </c>
      <c r="BC12" s="36"/>
      <c r="BD12" s="36"/>
      <c r="BE12" s="36"/>
      <c r="BF12" s="36"/>
      <c r="BG12" s="36"/>
      <c r="BH12" s="59"/>
      <c r="BI12" s="64" t="s">
        <v>25</v>
      </c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6"/>
      <c r="BV12" s="31"/>
      <c r="BW12" s="7"/>
    </row>
    <row r="13" spans="1:75" ht="6" customHeight="1" thickBot="1" x14ac:dyDescent="0.3">
      <c r="A13" s="67"/>
      <c r="B13" s="7"/>
      <c r="C13" s="7"/>
      <c r="D13" s="7"/>
      <c r="E13" s="7"/>
      <c r="F13" s="7"/>
      <c r="G13" s="7"/>
      <c r="H13" s="7"/>
      <c r="I13" s="7"/>
      <c r="J13" s="7"/>
      <c r="K13" s="7"/>
      <c r="L13" s="6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spans="1:75" ht="25.15" customHeight="1" x14ac:dyDescent="0.25">
      <c r="A14" s="68" t="s">
        <v>26</v>
      </c>
      <c r="B14" s="69"/>
      <c r="C14" s="69"/>
      <c r="D14" s="69"/>
      <c r="E14" s="69"/>
      <c r="F14" s="69"/>
      <c r="G14" s="70"/>
      <c r="H14" s="71" t="s">
        <v>27</v>
      </c>
      <c r="I14" s="71"/>
      <c r="J14" s="71"/>
      <c r="K14" s="71"/>
      <c r="L14" s="71"/>
      <c r="M14" s="71"/>
      <c r="N14" s="72"/>
      <c r="O14" s="73" t="s">
        <v>28</v>
      </c>
      <c r="P14" s="74"/>
      <c r="Q14" s="74"/>
      <c r="R14" s="74"/>
      <c r="S14" s="75"/>
      <c r="T14" s="76" t="s">
        <v>29</v>
      </c>
      <c r="U14" s="77"/>
      <c r="V14" s="77"/>
      <c r="W14" s="78"/>
      <c r="X14" s="79" t="s">
        <v>30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1"/>
      <c r="AK14" s="82" t="s">
        <v>31</v>
      </c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1"/>
      <c r="AX14" s="79" t="s">
        <v>32</v>
      </c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1"/>
      <c r="BL14" s="83" t="s">
        <v>33</v>
      </c>
      <c r="BM14" s="84"/>
      <c r="BN14" s="84"/>
      <c r="BO14" s="84"/>
      <c r="BP14" s="84"/>
      <c r="BQ14" s="84"/>
      <c r="BR14" s="84"/>
      <c r="BS14" s="84"/>
      <c r="BT14" s="84"/>
      <c r="BU14" s="85"/>
      <c r="BV14" s="7"/>
      <c r="BW14" s="7"/>
    </row>
    <row r="15" spans="1:75" ht="25.15" customHeight="1" thickBot="1" x14ac:dyDescent="0.3">
      <c r="A15" s="86"/>
      <c r="B15" s="87"/>
      <c r="C15" s="87"/>
      <c r="D15" s="87"/>
      <c r="E15" s="87"/>
      <c r="F15" s="87"/>
      <c r="G15" s="88"/>
      <c r="H15" s="89" t="s">
        <v>34</v>
      </c>
      <c r="I15" s="89"/>
      <c r="J15" s="89"/>
      <c r="K15" s="89"/>
      <c r="L15" s="89"/>
      <c r="M15" s="89"/>
      <c r="N15" s="90"/>
      <c r="O15" s="91" t="s">
        <v>35</v>
      </c>
      <c r="P15" s="92"/>
      <c r="Q15" s="92"/>
      <c r="R15" s="92"/>
      <c r="S15" s="93"/>
      <c r="T15" s="94" t="s">
        <v>36</v>
      </c>
      <c r="U15" s="95"/>
      <c r="V15" s="95"/>
      <c r="W15" s="96"/>
      <c r="X15" s="97" t="s">
        <v>27</v>
      </c>
      <c r="Y15" s="98"/>
      <c r="Z15" s="98"/>
      <c r="AA15" s="98"/>
      <c r="AB15" s="98"/>
      <c r="AC15" s="98"/>
      <c r="AD15" s="98"/>
      <c r="AE15" s="99" t="s">
        <v>37</v>
      </c>
      <c r="AF15" s="99"/>
      <c r="AG15" s="99"/>
      <c r="AH15" s="99"/>
      <c r="AI15" s="99"/>
      <c r="AJ15" s="100"/>
      <c r="AK15" s="101" t="s">
        <v>27</v>
      </c>
      <c r="AL15" s="99"/>
      <c r="AM15" s="99"/>
      <c r="AN15" s="99"/>
      <c r="AO15" s="99"/>
      <c r="AP15" s="99"/>
      <c r="AQ15" s="99"/>
      <c r="AR15" s="99" t="s">
        <v>37</v>
      </c>
      <c r="AS15" s="99"/>
      <c r="AT15" s="99"/>
      <c r="AU15" s="99"/>
      <c r="AV15" s="99"/>
      <c r="AW15" s="100"/>
      <c r="AX15" s="102" t="s">
        <v>11</v>
      </c>
      <c r="AY15" s="99"/>
      <c r="AZ15" s="99"/>
      <c r="BA15" s="99"/>
      <c r="BB15" s="99"/>
      <c r="BC15" s="99"/>
      <c r="BD15" s="100"/>
      <c r="BE15" s="102" t="s">
        <v>38</v>
      </c>
      <c r="BF15" s="99"/>
      <c r="BG15" s="99"/>
      <c r="BH15" s="99"/>
      <c r="BI15" s="99"/>
      <c r="BJ15" s="99"/>
      <c r="BK15" s="100"/>
      <c r="BL15" s="103"/>
      <c r="BM15" s="104"/>
      <c r="BN15" s="104"/>
      <c r="BO15" s="104"/>
      <c r="BP15" s="104"/>
      <c r="BQ15" s="104"/>
      <c r="BR15" s="104"/>
      <c r="BS15" s="104"/>
      <c r="BT15" s="104"/>
      <c r="BU15" s="105"/>
      <c r="BV15" s="7"/>
      <c r="BW15" s="7"/>
    </row>
    <row r="16" spans="1:75" ht="25.15" customHeight="1" x14ac:dyDescent="0.25">
      <c r="A16" s="106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11"/>
      <c r="P16" s="111"/>
      <c r="Q16" s="111"/>
      <c r="R16" s="111"/>
      <c r="S16" s="112"/>
      <c r="T16" s="113"/>
      <c r="U16" s="109"/>
      <c r="V16" s="109"/>
      <c r="W16" s="110"/>
      <c r="X16" s="114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6"/>
      <c r="AK16" s="113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10"/>
      <c r="AX16" s="114"/>
      <c r="AY16" s="115"/>
      <c r="AZ16" s="115"/>
      <c r="BA16" s="115"/>
      <c r="BB16" s="115"/>
      <c r="BC16" s="115"/>
      <c r="BD16" s="116"/>
      <c r="BE16" s="113"/>
      <c r="BF16" s="109"/>
      <c r="BG16" s="109"/>
      <c r="BH16" s="109"/>
      <c r="BI16" s="109"/>
      <c r="BJ16" s="109"/>
      <c r="BK16" s="110"/>
      <c r="BL16" s="117"/>
      <c r="BM16" s="111"/>
      <c r="BN16" s="111"/>
      <c r="BO16" s="111"/>
      <c r="BP16" s="111"/>
      <c r="BQ16" s="111"/>
      <c r="BR16" s="111"/>
      <c r="BS16" s="111"/>
      <c r="BT16" s="111"/>
      <c r="BU16" s="112"/>
      <c r="BV16" s="7"/>
      <c r="BW16" s="7"/>
    </row>
    <row r="17" spans="1:75" ht="25.15" customHeight="1" x14ac:dyDescent="0.25">
      <c r="A17" s="118"/>
      <c r="B17" s="118"/>
      <c r="C17" s="118"/>
      <c r="D17" s="118"/>
      <c r="E17" s="118"/>
      <c r="F17" s="118"/>
      <c r="G17" s="119"/>
      <c r="H17" s="120"/>
      <c r="I17" s="121"/>
      <c r="J17" s="121"/>
      <c r="K17" s="121"/>
      <c r="L17" s="121"/>
      <c r="M17" s="121"/>
      <c r="N17" s="122"/>
      <c r="O17" s="123"/>
      <c r="P17" s="123"/>
      <c r="Q17" s="123"/>
      <c r="R17" s="123"/>
      <c r="S17" s="124"/>
      <c r="T17" s="120"/>
      <c r="U17" s="121"/>
      <c r="V17" s="121"/>
      <c r="W17" s="122"/>
      <c r="X17" s="120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2"/>
      <c r="AK17" s="120"/>
      <c r="AL17" s="121"/>
      <c r="AM17" s="121"/>
      <c r="AN17" s="121"/>
      <c r="AO17" s="121"/>
      <c r="AP17" s="121"/>
      <c r="AQ17" s="121"/>
      <c r="AR17" s="125"/>
      <c r="AS17" s="123"/>
      <c r="AT17" s="123"/>
      <c r="AU17" s="123"/>
      <c r="AV17" s="123"/>
      <c r="AW17" s="124"/>
      <c r="AX17" s="120"/>
      <c r="AY17" s="121"/>
      <c r="AZ17" s="121"/>
      <c r="BA17" s="121"/>
      <c r="BB17" s="121"/>
      <c r="BC17" s="121"/>
      <c r="BD17" s="122"/>
      <c r="BE17" s="120"/>
      <c r="BF17" s="121"/>
      <c r="BG17" s="121"/>
      <c r="BH17" s="121"/>
      <c r="BI17" s="121"/>
      <c r="BJ17" s="121"/>
      <c r="BK17" s="122"/>
      <c r="BL17" s="126"/>
      <c r="BM17" s="123"/>
      <c r="BN17" s="123"/>
      <c r="BO17" s="123"/>
      <c r="BP17" s="123"/>
      <c r="BQ17" s="123"/>
      <c r="BR17" s="123"/>
      <c r="BS17" s="123"/>
      <c r="BT17" s="123"/>
      <c r="BU17" s="124"/>
      <c r="BV17" s="7"/>
      <c r="BW17" s="7"/>
    </row>
    <row r="18" spans="1:75" ht="25.15" customHeight="1" x14ac:dyDescent="0.25">
      <c r="A18" s="118"/>
      <c r="B18" s="118"/>
      <c r="C18" s="118"/>
      <c r="D18" s="118"/>
      <c r="E18" s="118"/>
      <c r="F18" s="118"/>
      <c r="G18" s="119"/>
      <c r="H18" s="126"/>
      <c r="I18" s="123"/>
      <c r="J18" s="123"/>
      <c r="K18" s="123"/>
      <c r="L18" s="123"/>
      <c r="M18" s="123"/>
      <c r="N18" s="124"/>
      <c r="O18" s="126"/>
      <c r="P18" s="123"/>
      <c r="Q18" s="123"/>
      <c r="R18" s="123"/>
      <c r="S18" s="124"/>
      <c r="T18" s="126"/>
      <c r="U18" s="123"/>
      <c r="V18" s="123"/>
      <c r="W18" s="124"/>
      <c r="X18" s="126"/>
      <c r="Y18" s="123"/>
      <c r="Z18" s="123"/>
      <c r="AA18" s="123"/>
      <c r="AB18" s="123"/>
      <c r="AC18" s="123"/>
      <c r="AD18" s="127"/>
      <c r="AE18" s="125"/>
      <c r="AF18" s="123"/>
      <c r="AG18" s="123"/>
      <c r="AH18" s="123"/>
      <c r="AI18" s="123"/>
      <c r="AJ18" s="124"/>
      <c r="AK18" s="126"/>
      <c r="AL18" s="123"/>
      <c r="AM18" s="123"/>
      <c r="AN18" s="123"/>
      <c r="AO18" s="123"/>
      <c r="AP18" s="123"/>
      <c r="AQ18" s="127"/>
      <c r="AR18" s="125"/>
      <c r="AS18" s="123"/>
      <c r="AT18" s="123"/>
      <c r="AU18" s="123"/>
      <c r="AV18" s="123"/>
      <c r="AW18" s="124"/>
      <c r="AX18" s="128"/>
      <c r="AY18" s="129"/>
      <c r="AZ18" s="129"/>
      <c r="BA18" s="129"/>
      <c r="BB18" s="129"/>
      <c r="BC18" s="129"/>
      <c r="BD18" s="130"/>
      <c r="BE18" s="126"/>
      <c r="BF18" s="123"/>
      <c r="BG18" s="123"/>
      <c r="BH18" s="123"/>
      <c r="BI18" s="123"/>
      <c r="BJ18" s="123"/>
      <c r="BK18" s="124"/>
      <c r="BL18" s="126"/>
      <c r="BM18" s="123"/>
      <c r="BN18" s="123"/>
      <c r="BO18" s="123"/>
      <c r="BP18" s="123"/>
      <c r="BQ18" s="123"/>
      <c r="BR18" s="123"/>
      <c r="BS18" s="123"/>
      <c r="BT18" s="123"/>
      <c r="BU18" s="124"/>
      <c r="BV18" s="7"/>
      <c r="BW18" s="7"/>
    </row>
    <row r="19" spans="1:75" ht="25.15" customHeight="1" x14ac:dyDescent="0.25">
      <c r="A19" s="131"/>
      <c r="B19" s="118"/>
      <c r="C19" s="118"/>
      <c r="D19" s="118"/>
      <c r="E19" s="118"/>
      <c r="F19" s="118"/>
      <c r="G19" s="119"/>
      <c r="H19" s="126"/>
      <c r="I19" s="123"/>
      <c r="J19" s="123"/>
      <c r="K19" s="123"/>
      <c r="L19" s="123"/>
      <c r="M19" s="123"/>
      <c r="N19" s="124"/>
      <c r="O19" s="126"/>
      <c r="P19" s="123"/>
      <c r="Q19" s="123"/>
      <c r="R19" s="123"/>
      <c r="S19" s="124"/>
      <c r="T19" s="126"/>
      <c r="U19" s="123"/>
      <c r="V19" s="123"/>
      <c r="W19" s="124"/>
      <c r="X19" s="126"/>
      <c r="Y19" s="123"/>
      <c r="Z19" s="123"/>
      <c r="AA19" s="123"/>
      <c r="AB19" s="123"/>
      <c r="AC19" s="123"/>
      <c r="AD19" s="127"/>
      <c r="AE19" s="125"/>
      <c r="AF19" s="123"/>
      <c r="AG19" s="123"/>
      <c r="AH19" s="123"/>
      <c r="AI19" s="123"/>
      <c r="AJ19" s="124"/>
      <c r="AK19" s="126"/>
      <c r="AL19" s="123"/>
      <c r="AM19" s="123"/>
      <c r="AN19" s="123"/>
      <c r="AO19" s="123"/>
      <c r="AP19" s="123"/>
      <c r="AQ19" s="127"/>
      <c r="AR19" s="125"/>
      <c r="AS19" s="123"/>
      <c r="AT19" s="123"/>
      <c r="AU19" s="123"/>
      <c r="AV19" s="123"/>
      <c r="AW19" s="124"/>
      <c r="AX19" s="126"/>
      <c r="AY19" s="123"/>
      <c r="AZ19" s="123"/>
      <c r="BA19" s="123"/>
      <c r="BB19" s="123"/>
      <c r="BC19" s="123"/>
      <c r="BD19" s="124"/>
      <c r="BE19" s="126"/>
      <c r="BF19" s="123"/>
      <c r="BG19" s="123"/>
      <c r="BH19" s="123"/>
      <c r="BI19" s="123"/>
      <c r="BJ19" s="123"/>
      <c r="BK19" s="123"/>
      <c r="BL19" s="126"/>
      <c r="BM19" s="123"/>
      <c r="BN19" s="123"/>
      <c r="BO19" s="123"/>
      <c r="BP19" s="123"/>
      <c r="BQ19" s="123"/>
      <c r="BR19" s="123"/>
      <c r="BS19" s="123"/>
      <c r="BT19" s="123"/>
      <c r="BU19" s="124"/>
      <c r="BV19" s="7"/>
      <c r="BW19" s="7"/>
    </row>
    <row r="20" spans="1:75" ht="25.15" customHeight="1" x14ac:dyDescent="0.25">
      <c r="A20" s="118"/>
      <c r="B20" s="118"/>
      <c r="C20" s="118"/>
      <c r="D20" s="118"/>
      <c r="E20" s="118"/>
      <c r="F20" s="118"/>
      <c r="G20" s="119"/>
      <c r="H20" s="120"/>
      <c r="I20" s="121"/>
      <c r="J20" s="121"/>
      <c r="K20" s="121"/>
      <c r="L20" s="121"/>
      <c r="M20" s="121"/>
      <c r="N20" s="122"/>
      <c r="O20" s="123"/>
      <c r="P20" s="123"/>
      <c r="Q20" s="123"/>
      <c r="R20" s="123"/>
      <c r="S20" s="124"/>
      <c r="T20" s="120"/>
      <c r="U20" s="121"/>
      <c r="V20" s="121"/>
      <c r="W20" s="122"/>
      <c r="X20" s="120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2"/>
      <c r="AK20" s="120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2"/>
      <c r="AX20" s="120"/>
      <c r="AY20" s="121"/>
      <c r="AZ20" s="121"/>
      <c r="BA20" s="121"/>
      <c r="BB20" s="121"/>
      <c r="BC20" s="121"/>
      <c r="BD20" s="122"/>
      <c r="BE20" s="120"/>
      <c r="BF20" s="121"/>
      <c r="BG20" s="121"/>
      <c r="BH20" s="121"/>
      <c r="BI20" s="121"/>
      <c r="BJ20" s="121"/>
      <c r="BK20" s="125"/>
      <c r="BL20" s="126"/>
      <c r="BM20" s="123"/>
      <c r="BN20" s="123"/>
      <c r="BO20" s="123"/>
      <c r="BP20" s="123"/>
      <c r="BQ20" s="123"/>
      <c r="BR20" s="123"/>
      <c r="BS20" s="123"/>
      <c r="BT20" s="123"/>
      <c r="BU20" s="124"/>
      <c r="BV20" s="7"/>
      <c r="BW20" s="7"/>
    </row>
    <row r="21" spans="1:75" ht="25.15" customHeight="1" x14ac:dyDescent="0.25">
      <c r="A21" s="132"/>
      <c r="B21" s="132"/>
      <c r="C21" s="132"/>
      <c r="D21" s="132"/>
      <c r="E21" s="132"/>
      <c r="F21" s="132"/>
      <c r="G21" s="133"/>
      <c r="H21" s="120"/>
      <c r="I21" s="121"/>
      <c r="J21" s="121"/>
      <c r="K21" s="121"/>
      <c r="L21" s="121"/>
      <c r="M21" s="121"/>
      <c r="N21" s="122"/>
      <c r="O21" s="123"/>
      <c r="P21" s="123"/>
      <c r="Q21" s="123"/>
      <c r="R21" s="123"/>
      <c r="S21" s="124"/>
      <c r="T21" s="120"/>
      <c r="U21" s="121"/>
      <c r="V21" s="121"/>
      <c r="W21" s="122"/>
      <c r="X21" s="120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2"/>
      <c r="AK21" s="120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34"/>
      <c r="AY21" s="135"/>
      <c r="AZ21" s="135"/>
      <c r="BA21" s="135"/>
      <c r="BB21" s="135"/>
      <c r="BC21" s="135"/>
      <c r="BD21" s="136"/>
      <c r="BE21" s="120"/>
      <c r="BF21" s="121"/>
      <c r="BG21" s="121"/>
      <c r="BH21" s="121"/>
      <c r="BI21" s="121"/>
      <c r="BJ21" s="121"/>
      <c r="BK21" s="125"/>
      <c r="BL21" s="126"/>
      <c r="BM21" s="123"/>
      <c r="BN21" s="123"/>
      <c r="BO21" s="123"/>
      <c r="BP21" s="123"/>
      <c r="BQ21" s="123"/>
      <c r="BR21" s="123"/>
      <c r="BS21" s="123"/>
      <c r="BT21" s="123"/>
      <c r="BU21" s="124"/>
      <c r="BV21" s="7"/>
      <c r="BW21" s="7"/>
    </row>
    <row r="22" spans="1:75" ht="25.15" customHeight="1" thickBot="1" x14ac:dyDescent="0.3">
      <c r="A22" s="137"/>
      <c r="B22" s="137"/>
      <c r="C22" s="137"/>
      <c r="D22" s="137"/>
      <c r="E22" s="137"/>
      <c r="F22" s="137"/>
      <c r="G22" s="138"/>
      <c r="H22" s="139"/>
      <c r="I22" s="140"/>
      <c r="J22" s="140"/>
      <c r="K22" s="140"/>
      <c r="L22" s="140"/>
      <c r="M22" s="140"/>
      <c r="N22" s="141"/>
      <c r="O22" s="142"/>
      <c r="P22" s="142"/>
      <c r="Q22" s="142"/>
      <c r="R22" s="142"/>
      <c r="S22" s="143"/>
      <c r="T22" s="139"/>
      <c r="U22" s="140"/>
      <c r="V22" s="140"/>
      <c r="W22" s="141"/>
      <c r="X22" s="139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1"/>
      <c r="AK22" s="139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1"/>
      <c r="AX22" s="139"/>
      <c r="AY22" s="140"/>
      <c r="AZ22" s="140"/>
      <c r="BA22" s="140"/>
      <c r="BB22" s="140"/>
      <c r="BC22" s="140"/>
      <c r="BD22" s="141"/>
      <c r="BE22" s="139"/>
      <c r="BF22" s="140"/>
      <c r="BG22" s="140"/>
      <c r="BH22" s="140"/>
      <c r="BI22" s="140"/>
      <c r="BJ22" s="140"/>
      <c r="BK22" s="144"/>
      <c r="BL22" s="145"/>
      <c r="BM22" s="142"/>
      <c r="BN22" s="142"/>
      <c r="BO22" s="142"/>
      <c r="BP22" s="142"/>
      <c r="BQ22" s="142"/>
      <c r="BR22" s="142"/>
      <c r="BS22" s="142"/>
      <c r="BT22" s="142"/>
      <c r="BU22" s="143"/>
      <c r="BV22" s="7"/>
      <c r="BW22" s="7"/>
    </row>
    <row r="23" spans="1:75" ht="6" customHeight="1" thickBot="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spans="1:75" ht="25.15" customHeight="1" x14ac:dyDescent="0.35">
      <c r="A24" s="146" t="s">
        <v>39</v>
      </c>
      <c r="B24" s="147"/>
      <c r="C24" s="147"/>
      <c r="D24" s="147"/>
      <c r="E24" s="148"/>
      <c r="F24" s="149" t="s">
        <v>40</v>
      </c>
      <c r="G24" s="150"/>
      <c r="H24" s="150"/>
      <c r="I24" s="151"/>
      <c r="J24" s="152" t="s">
        <v>26</v>
      </c>
      <c r="K24" s="153"/>
      <c r="L24" s="153"/>
      <c r="M24" s="154"/>
      <c r="N24" s="155" t="s">
        <v>29</v>
      </c>
      <c r="O24" s="156"/>
      <c r="P24" s="156"/>
      <c r="Q24" s="157"/>
      <c r="R24" s="158" t="s">
        <v>37</v>
      </c>
      <c r="S24" s="159"/>
      <c r="T24" s="159"/>
      <c r="U24" s="159"/>
      <c r="V24" s="160"/>
      <c r="W24" s="161" t="s">
        <v>41</v>
      </c>
      <c r="X24" s="162"/>
      <c r="Y24" s="162"/>
      <c r="Z24" s="163"/>
      <c r="AA24" s="164" t="s">
        <v>42</v>
      </c>
      <c r="AB24" s="165"/>
      <c r="AC24" s="165"/>
      <c r="AD24" s="165"/>
      <c r="AE24" s="165"/>
      <c r="AF24" s="165"/>
      <c r="AG24" s="165"/>
      <c r="AH24" s="166"/>
      <c r="AI24" s="167" t="s">
        <v>43</v>
      </c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9" t="s">
        <v>44</v>
      </c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1"/>
      <c r="BS24" s="172" t="s">
        <v>45</v>
      </c>
      <c r="BT24" s="173"/>
      <c r="BU24" s="174" t="s">
        <v>46</v>
      </c>
      <c r="BV24" s="175"/>
      <c r="BW24" s="175"/>
    </row>
    <row r="25" spans="1:75" ht="25.15" customHeight="1" thickBot="1" x14ac:dyDescent="0.3">
      <c r="A25" s="176"/>
      <c r="B25" s="177"/>
      <c r="C25" s="177"/>
      <c r="D25" s="177"/>
      <c r="E25" s="178"/>
      <c r="F25" s="179"/>
      <c r="G25" s="180"/>
      <c r="H25" s="180"/>
      <c r="I25" s="181"/>
      <c r="J25" s="182" t="s">
        <v>11</v>
      </c>
      <c r="K25" s="183"/>
      <c r="L25" s="183"/>
      <c r="M25" s="184"/>
      <c r="N25" s="185"/>
      <c r="O25" s="186"/>
      <c r="P25" s="186"/>
      <c r="Q25" s="187"/>
      <c r="R25" s="188"/>
      <c r="S25" s="189"/>
      <c r="T25" s="189"/>
      <c r="U25" s="189"/>
      <c r="V25" s="190"/>
      <c r="W25" s="191"/>
      <c r="X25" s="192"/>
      <c r="Y25" s="192"/>
      <c r="Z25" s="193"/>
      <c r="AA25" s="194" t="s">
        <v>47</v>
      </c>
      <c r="AB25" s="195"/>
      <c r="AC25" s="195"/>
      <c r="AD25" s="195"/>
      <c r="AE25" s="195" t="s">
        <v>48</v>
      </c>
      <c r="AF25" s="195"/>
      <c r="AG25" s="195"/>
      <c r="AH25" s="196"/>
      <c r="AI25" s="194" t="s">
        <v>27</v>
      </c>
      <c r="AJ25" s="195"/>
      <c r="AK25" s="195"/>
      <c r="AL25" s="195"/>
      <c r="AM25" s="195"/>
      <c r="AN25" s="197" t="s">
        <v>49</v>
      </c>
      <c r="AO25" s="198"/>
      <c r="AP25" s="198"/>
      <c r="AQ25" s="198"/>
      <c r="AR25" s="198"/>
      <c r="AS25" s="198"/>
      <c r="AT25" s="198"/>
      <c r="AU25" s="198"/>
      <c r="AV25" s="198"/>
      <c r="AW25" s="199"/>
      <c r="AX25" s="200" t="s">
        <v>27</v>
      </c>
      <c r="AY25" s="201"/>
      <c r="AZ25" s="201"/>
      <c r="BA25" s="201"/>
      <c r="BB25" s="201"/>
      <c r="BC25" s="202" t="s">
        <v>49</v>
      </c>
      <c r="BD25" s="203"/>
      <c r="BE25" s="203"/>
      <c r="BF25" s="203"/>
      <c r="BG25" s="203"/>
      <c r="BH25" s="203"/>
      <c r="BI25" s="203"/>
      <c r="BJ25" s="203"/>
      <c r="BK25" s="204"/>
      <c r="BL25" s="205" t="s">
        <v>50</v>
      </c>
      <c r="BM25" s="206"/>
      <c r="BN25" s="206"/>
      <c r="BO25" s="206"/>
      <c r="BP25" s="206"/>
      <c r="BQ25" s="206"/>
      <c r="BR25" s="207"/>
      <c r="BS25" s="208"/>
      <c r="BT25" s="209"/>
      <c r="BU25" s="210"/>
      <c r="BV25" s="7"/>
      <c r="BW25" s="7"/>
    </row>
    <row r="26" spans="1:75" ht="25.15" customHeight="1" x14ac:dyDescent="0.25">
      <c r="A26" s="211"/>
      <c r="B26" s="106"/>
      <c r="C26" s="106"/>
      <c r="D26" s="106"/>
      <c r="E26" s="107"/>
      <c r="F26" s="113"/>
      <c r="G26" s="109"/>
      <c r="H26" s="109"/>
      <c r="I26" s="212"/>
      <c r="J26" s="113"/>
      <c r="K26" s="109"/>
      <c r="L26" s="109"/>
      <c r="M26" s="110"/>
      <c r="N26" s="108"/>
      <c r="O26" s="109"/>
      <c r="P26" s="109"/>
      <c r="Q26" s="212"/>
      <c r="R26" s="113"/>
      <c r="S26" s="109"/>
      <c r="T26" s="109"/>
      <c r="U26" s="109"/>
      <c r="V26" s="110"/>
      <c r="W26" s="113"/>
      <c r="X26" s="109"/>
      <c r="Y26" s="109"/>
      <c r="Z26" s="110"/>
      <c r="AA26" s="113"/>
      <c r="AB26" s="109"/>
      <c r="AC26" s="109"/>
      <c r="AD26" s="109"/>
      <c r="AE26" s="109"/>
      <c r="AF26" s="109"/>
      <c r="AG26" s="109"/>
      <c r="AH26" s="110"/>
      <c r="AI26" s="113"/>
      <c r="AJ26" s="109"/>
      <c r="AK26" s="109"/>
      <c r="AL26" s="109"/>
      <c r="AM26" s="109"/>
      <c r="AN26" s="213"/>
      <c r="AO26" s="214"/>
      <c r="AP26" s="214"/>
      <c r="AQ26" s="214"/>
      <c r="AR26" s="214"/>
      <c r="AS26" s="214"/>
      <c r="AT26" s="214"/>
      <c r="AU26" s="214"/>
      <c r="AV26" s="214"/>
      <c r="AW26" s="215"/>
      <c r="AX26" s="216"/>
      <c r="AY26" s="216"/>
      <c r="AZ26" s="216"/>
      <c r="BA26" s="216"/>
      <c r="BB26" s="217"/>
      <c r="BC26" s="212"/>
      <c r="BD26" s="111"/>
      <c r="BE26" s="111"/>
      <c r="BF26" s="111"/>
      <c r="BG26" s="111"/>
      <c r="BH26" s="111"/>
      <c r="BI26" s="111"/>
      <c r="BJ26" s="111"/>
      <c r="BK26" s="111"/>
      <c r="BL26" s="109"/>
      <c r="BM26" s="109"/>
      <c r="BN26" s="109"/>
      <c r="BO26" s="109"/>
      <c r="BP26" s="109"/>
      <c r="BQ26" s="109"/>
      <c r="BR26" s="110"/>
      <c r="BS26" s="111"/>
      <c r="BT26" s="111"/>
      <c r="BU26" s="218"/>
      <c r="BV26" s="219"/>
      <c r="BW26" s="7"/>
    </row>
    <row r="27" spans="1:75" ht="25.15" customHeight="1" x14ac:dyDescent="0.25">
      <c r="A27" s="131"/>
      <c r="B27" s="118"/>
      <c r="C27" s="118"/>
      <c r="D27" s="118"/>
      <c r="E27" s="220"/>
      <c r="F27" s="127"/>
      <c r="G27" s="121"/>
      <c r="H27" s="121"/>
      <c r="I27" s="125"/>
      <c r="J27" s="120"/>
      <c r="K27" s="121"/>
      <c r="L27" s="121"/>
      <c r="M27" s="122"/>
      <c r="N27" s="120"/>
      <c r="O27" s="121"/>
      <c r="P27" s="121"/>
      <c r="Q27" s="122"/>
      <c r="R27" s="120"/>
      <c r="S27" s="121"/>
      <c r="T27" s="121"/>
      <c r="U27" s="121"/>
      <c r="V27" s="122"/>
      <c r="W27" s="120"/>
      <c r="X27" s="121"/>
      <c r="Y27" s="121"/>
      <c r="Z27" s="122"/>
      <c r="AA27" s="120"/>
      <c r="AB27" s="121"/>
      <c r="AC27" s="121"/>
      <c r="AD27" s="121"/>
      <c r="AE27" s="121"/>
      <c r="AF27" s="121"/>
      <c r="AG27" s="121"/>
      <c r="AH27" s="122"/>
      <c r="AI27" s="120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7"/>
      <c r="BC27" s="121"/>
      <c r="BD27" s="121"/>
      <c r="BE27" s="121"/>
      <c r="BF27" s="121"/>
      <c r="BG27" s="121"/>
      <c r="BH27" s="121"/>
      <c r="BI27" s="121"/>
      <c r="BJ27" s="121"/>
      <c r="BK27" s="121"/>
      <c r="BL27" s="125"/>
      <c r="BM27" s="123"/>
      <c r="BN27" s="123"/>
      <c r="BO27" s="123"/>
      <c r="BP27" s="123"/>
      <c r="BQ27" s="123"/>
      <c r="BR27" s="124"/>
      <c r="BS27" s="123"/>
      <c r="BT27" s="127"/>
      <c r="BU27" s="221"/>
      <c r="BV27" s="7"/>
      <c r="BW27" s="7"/>
    </row>
    <row r="28" spans="1:75" ht="25.15" customHeight="1" x14ac:dyDescent="0.25">
      <c r="A28" s="131"/>
      <c r="B28" s="118"/>
      <c r="C28" s="118"/>
      <c r="D28" s="118"/>
      <c r="E28" s="220"/>
      <c r="F28" s="120"/>
      <c r="G28" s="121"/>
      <c r="H28" s="121"/>
      <c r="I28" s="122"/>
      <c r="J28" s="127"/>
      <c r="K28" s="121"/>
      <c r="L28" s="121"/>
      <c r="M28" s="125"/>
      <c r="N28" s="120"/>
      <c r="O28" s="121"/>
      <c r="P28" s="121"/>
      <c r="Q28" s="122"/>
      <c r="R28" s="120"/>
      <c r="S28" s="121"/>
      <c r="T28" s="121"/>
      <c r="U28" s="121"/>
      <c r="V28" s="122"/>
      <c r="W28" s="120"/>
      <c r="X28" s="121"/>
      <c r="Y28" s="121"/>
      <c r="Z28" s="122"/>
      <c r="AA28" s="120"/>
      <c r="AB28" s="121"/>
      <c r="AC28" s="121"/>
      <c r="AD28" s="121"/>
      <c r="AE28" s="121"/>
      <c r="AF28" s="121"/>
      <c r="AG28" s="121"/>
      <c r="AH28" s="122"/>
      <c r="AI28" s="120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2"/>
      <c r="AX28" s="123"/>
      <c r="AY28" s="123"/>
      <c r="AZ28" s="123"/>
      <c r="BA28" s="123"/>
      <c r="BB28" s="127"/>
      <c r="BC28" s="121"/>
      <c r="BD28" s="121"/>
      <c r="BE28" s="121"/>
      <c r="BF28" s="121"/>
      <c r="BG28" s="121"/>
      <c r="BH28" s="121"/>
      <c r="BI28" s="121"/>
      <c r="BJ28" s="121"/>
      <c r="BK28" s="121"/>
      <c r="BL28" s="125"/>
      <c r="BM28" s="123"/>
      <c r="BN28" s="123"/>
      <c r="BO28" s="123"/>
      <c r="BP28" s="123"/>
      <c r="BQ28" s="123"/>
      <c r="BR28" s="124"/>
      <c r="BS28" s="123"/>
      <c r="BT28" s="127"/>
      <c r="BU28" s="221"/>
      <c r="BV28" s="7"/>
      <c r="BW28" s="7"/>
    </row>
    <row r="29" spans="1:75" ht="25.15" customHeight="1" x14ac:dyDescent="0.25">
      <c r="A29" s="131"/>
      <c r="B29" s="118"/>
      <c r="C29" s="118"/>
      <c r="D29" s="118"/>
      <c r="E29" s="220"/>
      <c r="F29" s="120"/>
      <c r="G29" s="121"/>
      <c r="H29" s="121"/>
      <c r="I29" s="122"/>
      <c r="J29" s="127"/>
      <c r="K29" s="121"/>
      <c r="L29" s="121"/>
      <c r="M29" s="125"/>
      <c r="N29" s="120"/>
      <c r="O29" s="121"/>
      <c r="P29" s="121"/>
      <c r="Q29" s="122"/>
      <c r="R29" s="127"/>
      <c r="S29" s="121"/>
      <c r="T29" s="121"/>
      <c r="U29" s="121"/>
      <c r="V29" s="125"/>
      <c r="W29" s="120"/>
      <c r="X29" s="121"/>
      <c r="Y29" s="121"/>
      <c r="Z29" s="122"/>
      <c r="AA29" s="120"/>
      <c r="AB29" s="121"/>
      <c r="AC29" s="121"/>
      <c r="AD29" s="121"/>
      <c r="AE29" s="121"/>
      <c r="AF29" s="121"/>
      <c r="AG29" s="121"/>
      <c r="AH29" s="122"/>
      <c r="AI29" s="120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7"/>
      <c r="BC29" s="121"/>
      <c r="BD29" s="121"/>
      <c r="BE29" s="121"/>
      <c r="BF29" s="121"/>
      <c r="BG29" s="121"/>
      <c r="BH29" s="121"/>
      <c r="BI29" s="121"/>
      <c r="BJ29" s="121"/>
      <c r="BK29" s="121"/>
      <c r="BL29" s="125"/>
      <c r="BM29" s="123"/>
      <c r="BN29" s="123"/>
      <c r="BO29" s="123"/>
      <c r="BP29" s="123"/>
      <c r="BQ29" s="123"/>
      <c r="BR29" s="124"/>
      <c r="BS29" s="123"/>
      <c r="BT29" s="127"/>
      <c r="BU29" s="221"/>
      <c r="BV29" s="7"/>
      <c r="BW29" s="7"/>
    </row>
    <row r="30" spans="1:75" ht="25.15" customHeight="1" x14ac:dyDescent="0.25">
      <c r="A30" s="131"/>
      <c r="B30" s="118"/>
      <c r="C30" s="118"/>
      <c r="D30" s="118"/>
      <c r="E30" s="220"/>
      <c r="F30" s="120"/>
      <c r="G30" s="121"/>
      <c r="H30" s="121"/>
      <c r="I30" s="122"/>
      <c r="J30" s="127"/>
      <c r="K30" s="121"/>
      <c r="L30" s="121"/>
      <c r="M30" s="125"/>
      <c r="N30" s="120"/>
      <c r="O30" s="121"/>
      <c r="P30" s="121"/>
      <c r="Q30" s="122"/>
      <c r="R30" s="127"/>
      <c r="S30" s="121"/>
      <c r="T30" s="121"/>
      <c r="U30" s="121"/>
      <c r="V30" s="125"/>
      <c r="W30" s="120"/>
      <c r="X30" s="121"/>
      <c r="Y30" s="121"/>
      <c r="Z30" s="122"/>
      <c r="AA30" s="120"/>
      <c r="AB30" s="121"/>
      <c r="AC30" s="121"/>
      <c r="AD30" s="121"/>
      <c r="AE30" s="121"/>
      <c r="AF30" s="121"/>
      <c r="AG30" s="121"/>
      <c r="AH30" s="122"/>
      <c r="AI30" s="120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2"/>
      <c r="AX30" s="123"/>
      <c r="AY30" s="123"/>
      <c r="AZ30" s="123"/>
      <c r="BA30" s="123"/>
      <c r="BB30" s="127"/>
      <c r="BC30" s="121"/>
      <c r="BD30" s="121"/>
      <c r="BE30" s="121"/>
      <c r="BF30" s="121"/>
      <c r="BG30" s="121"/>
      <c r="BH30" s="121"/>
      <c r="BI30" s="121"/>
      <c r="BJ30" s="121"/>
      <c r="BK30" s="121"/>
      <c r="BL30" s="125"/>
      <c r="BM30" s="123"/>
      <c r="BN30" s="123"/>
      <c r="BO30" s="123"/>
      <c r="BP30" s="123"/>
      <c r="BQ30" s="123"/>
      <c r="BR30" s="124"/>
      <c r="BS30" s="123"/>
      <c r="BT30" s="127"/>
      <c r="BU30" s="221"/>
      <c r="BV30" s="7"/>
      <c r="BW30" s="7"/>
    </row>
    <row r="31" spans="1:75" ht="25.15" customHeight="1" x14ac:dyDescent="0.25">
      <c r="A31" s="131"/>
      <c r="B31" s="118"/>
      <c r="C31" s="118"/>
      <c r="D31" s="118"/>
      <c r="E31" s="220"/>
      <c r="F31" s="120"/>
      <c r="G31" s="121"/>
      <c r="H31" s="121"/>
      <c r="I31" s="122"/>
      <c r="J31" s="127"/>
      <c r="K31" s="121"/>
      <c r="L31" s="121"/>
      <c r="M31" s="122"/>
      <c r="N31" s="127"/>
      <c r="O31" s="121"/>
      <c r="P31" s="121"/>
      <c r="Q31" s="125"/>
      <c r="R31" s="120"/>
      <c r="S31" s="121"/>
      <c r="T31" s="121"/>
      <c r="U31" s="121"/>
      <c r="V31" s="122"/>
      <c r="W31" s="120"/>
      <c r="X31" s="121"/>
      <c r="Y31" s="121"/>
      <c r="Z31" s="122"/>
      <c r="AA31" s="120"/>
      <c r="AB31" s="121"/>
      <c r="AC31" s="121"/>
      <c r="AD31" s="121"/>
      <c r="AE31" s="121"/>
      <c r="AF31" s="121"/>
      <c r="AG31" s="121"/>
      <c r="AH31" s="122"/>
      <c r="AI31" s="120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7"/>
      <c r="BC31" s="121"/>
      <c r="BD31" s="121"/>
      <c r="BE31" s="121"/>
      <c r="BF31" s="121"/>
      <c r="BG31" s="121"/>
      <c r="BH31" s="121"/>
      <c r="BI31" s="121"/>
      <c r="BJ31" s="121"/>
      <c r="BK31" s="121"/>
      <c r="BL31" s="125"/>
      <c r="BM31" s="123"/>
      <c r="BN31" s="123"/>
      <c r="BO31" s="123"/>
      <c r="BP31" s="123"/>
      <c r="BQ31" s="123"/>
      <c r="BR31" s="124"/>
      <c r="BS31" s="123"/>
      <c r="BT31" s="127"/>
      <c r="BU31" s="221"/>
      <c r="BV31" s="7"/>
      <c r="BW31" s="7"/>
    </row>
    <row r="32" spans="1:75" ht="25.15" customHeight="1" x14ac:dyDescent="0.25">
      <c r="A32" s="131"/>
      <c r="B32" s="118"/>
      <c r="C32" s="118"/>
      <c r="D32" s="118"/>
      <c r="E32" s="220"/>
      <c r="F32" s="120"/>
      <c r="G32" s="121"/>
      <c r="H32" s="121"/>
      <c r="I32" s="125"/>
      <c r="J32" s="120"/>
      <c r="K32" s="121"/>
      <c r="L32" s="121"/>
      <c r="M32" s="122"/>
      <c r="N32" s="120"/>
      <c r="O32" s="121"/>
      <c r="P32" s="121"/>
      <c r="Q32" s="122"/>
      <c r="R32" s="127"/>
      <c r="S32" s="121"/>
      <c r="T32" s="121"/>
      <c r="U32" s="121"/>
      <c r="V32" s="125"/>
      <c r="W32" s="120"/>
      <c r="X32" s="121"/>
      <c r="Y32" s="121"/>
      <c r="Z32" s="122"/>
      <c r="AA32" s="120"/>
      <c r="AB32" s="121"/>
      <c r="AC32" s="121"/>
      <c r="AD32" s="121"/>
      <c r="AE32" s="121"/>
      <c r="AF32" s="121"/>
      <c r="AG32" s="121"/>
      <c r="AH32" s="122"/>
      <c r="AI32" s="120"/>
      <c r="AJ32" s="121"/>
      <c r="AK32" s="121"/>
      <c r="AL32" s="121"/>
      <c r="AM32" s="121"/>
      <c r="AN32" s="222"/>
      <c r="AO32" s="223"/>
      <c r="AP32" s="223"/>
      <c r="AQ32" s="223"/>
      <c r="AR32" s="223"/>
      <c r="AS32" s="223"/>
      <c r="AT32" s="223"/>
      <c r="AU32" s="223"/>
      <c r="AV32" s="223"/>
      <c r="AW32" s="224"/>
      <c r="AX32" s="123"/>
      <c r="AY32" s="123"/>
      <c r="AZ32" s="123"/>
      <c r="BA32" s="123"/>
      <c r="BB32" s="127"/>
      <c r="BC32" s="121"/>
      <c r="BD32" s="121"/>
      <c r="BE32" s="121"/>
      <c r="BF32" s="121"/>
      <c r="BG32" s="121"/>
      <c r="BH32" s="121"/>
      <c r="BI32" s="121"/>
      <c r="BJ32" s="121"/>
      <c r="BK32" s="121"/>
      <c r="BL32" s="125"/>
      <c r="BM32" s="123"/>
      <c r="BN32" s="123"/>
      <c r="BO32" s="123"/>
      <c r="BP32" s="123"/>
      <c r="BQ32" s="123"/>
      <c r="BR32" s="124"/>
      <c r="BS32" s="123"/>
      <c r="BT32" s="127"/>
      <c r="BU32" s="221"/>
      <c r="BV32" s="7"/>
      <c r="BW32" s="7"/>
    </row>
    <row r="33" spans="1:75" ht="25.15" customHeight="1" x14ac:dyDescent="0.25">
      <c r="A33" s="131"/>
      <c r="B33" s="118"/>
      <c r="C33" s="118"/>
      <c r="D33" s="118"/>
      <c r="E33" s="220"/>
      <c r="F33" s="120"/>
      <c r="G33" s="121"/>
      <c r="H33" s="121"/>
      <c r="I33" s="125"/>
      <c r="J33" s="120"/>
      <c r="K33" s="121"/>
      <c r="L33" s="121"/>
      <c r="M33" s="122"/>
      <c r="N33" s="120"/>
      <c r="O33" s="121"/>
      <c r="P33" s="121"/>
      <c r="Q33" s="122"/>
      <c r="R33" s="120"/>
      <c r="S33" s="121"/>
      <c r="T33" s="121"/>
      <c r="U33" s="121"/>
      <c r="V33" s="122"/>
      <c r="W33" s="120"/>
      <c r="X33" s="121"/>
      <c r="Y33" s="121"/>
      <c r="Z33" s="122"/>
      <c r="AA33" s="120"/>
      <c r="AB33" s="121"/>
      <c r="AC33" s="121"/>
      <c r="AD33" s="121"/>
      <c r="AE33" s="121"/>
      <c r="AF33" s="121"/>
      <c r="AG33" s="121"/>
      <c r="AH33" s="122"/>
      <c r="AI33" s="120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7"/>
      <c r="BC33" s="121"/>
      <c r="BD33" s="121"/>
      <c r="BE33" s="121"/>
      <c r="BF33" s="121"/>
      <c r="BG33" s="121"/>
      <c r="BH33" s="121"/>
      <c r="BI33" s="121"/>
      <c r="BJ33" s="121"/>
      <c r="BK33" s="121"/>
      <c r="BL33" s="125"/>
      <c r="BM33" s="123"/>
      <c r="BN33" s="123"/>
      <c r="BO33" s="123"/>
      <c r="BP33" s="123"/>
      <c r="BQ33" s="123"/>
      <c r="BR33" s="124"/>
      <c r="BS33" s="123"/>
      <c r="BT33" s="127"/>
      <c r="BU33" s="221"/>
      <c r="BV33" s="7"/>
      <c r="BW33" s="7"/>
    </row>
    <row r="34" spans="1:75" ht="25.15" customHeight="1" x14ac:dyDescent="0.25">
      <c r="A34" s="131"/>
      <c r="B34" s="118"/>
      <c r="C34" s="118"/>
      <c r="D34" s="118"/>
      <c r="E34" s="220"/>
      <c r="F34" s="134"/>
      <c r="G34" s="135"/>
      <c r="H34" s="135"/>
      <c r="I34" s="225"/>
      <c r="J34" s="120"/>
      <c r="K34" s="121"/>
      <c r="L34" s="121"/>
      <c r="M34" s="122"/>
      <c r="N34" s="120"/>
      <c r="O34" s="121"/>
      <c r="P34" s="121"/>
      <c r="Q34" s="122"/>
      <c r="R34" s="120"/>
      <c r="S34" s="121"/>
      <c r="T34" s="121"/>
      <c r="U34" s="121"/>
      <c r="V34" s="122"/>
      <c r="W34" s="120"/>
      <c r="X34" s="121"/>
      <c r="Y34" s="121"/>
      <c r="Z34" s="122"/>
      <c r="AA34" s="120"/>
      <c r="AB34" s="121"/>
      <c r="AC34" s="121"/>
      <c r="AD34" s="121"/>
      <c r="AE34" s="121"/>
      <c r="AF34" s="121"/>
      <c r="AG34" s="121"/>
      <c r="AH34" s="122"/>
      <c r="AI34" s="120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2"/>
      <c r="AX34" s="123"/>
      <c r="AY34" s="123"/>
      <c r="AZ34" s="123"/>
      <c r="BA34" s="123"/>
      <c r="BB34" s="127"/>
      <c r="BC34" s="121"/>
      <c r="BD34" s="121"/>
      <c r="BE34" s="121"/>
      <c r="BF34" s="121"/>
      <c r="BG34" s="121"/>
      <c r="BH34" s="121"/>
      <c r="BI34" s="121"/>
      <c r="BJ34" s="121"/>
      <c r="BK34" s="121"/>
      <c r="BL34" s="125"/>
      <c r="BM34" s="123"/>
      <c r="BN34" s="123"/>
      <c r="BO34" s="123"/>
      <c r="BP34" s="123"/>
      <c r="BQ34" s="123"/>
      <c r="BR34" s="124"/>
      <c r="BS34" s="123"/>
      <c r="BT34" s="127"/>
      <c r="BU34" s="221"/>
      <c r="BV34" s="7"/>
      <c r="BW34" s="7"/>
    </row>
    <row r="35" spans="1:75" ht="25.15" customHeight="1" x14ac:dyDescent="0.25">
      <c r="A35" s="131"/>
      <c r="B35" s="118"/>
      <c r="C35" s="118"/>
      <c r="D35" s="118"/>
      <c r="E35" s="220"/>
      <c r="F35" s="120"/>
      <c r="G35" s="121"/>
      <c r="H35" s="121"/>
      <c r="I35" s="122"/>
      <c r="J35" s="120"/>
      <c r="K35" s="121"/>
      <c r="L35" s="121"/>
      <c r="M35" s="122"/>
      <c r="N35" s="120"/>
      <c r="O35" s="121"/>
      <c r="P35" s="121"/>
      <c r="Q35" s="122"/>
      <c r="R35" s="120"/>
      <c r="S35" s="121"/>
      <c r="T35" s="121"/>
      <c r="U35" s="121"/>
      <c r="V35" s="122"/>
      <c r="W35" s="120"/>
      <c r="X35" s="121"/>
      <c r="Y35" s="121"/>
      <c r="Z35" s="122"/>
      <c r="AA35" s="120"/>
      <c r="AB35" s="121"/>
      <c r="AC35" s="121"/>
      <c r="AD35" s="121"/>
      <c r="AE35" s="121"/>
      <c r="AF35" s="121"/>
      <c r="AG35" s="121"/>
      <c r="AH35" s="122"/>
      <c r="AI35" s="120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7"/>
      <c r="BC35" s="121"/>
      <c r="BD35" s="121"/>
      <c r="BE35" s="121"/>
      <c r="BF35" s="121"/>
      <c r="BG35" s="121"/>
      <c r="BH35" s="121"/>
      <c r="BI35" s="121"/>
      <c r="BJ35" s="121"/>
      <c r="BK35" s="121"/>
      <c r="BL35" s="125"/>
      <c r="BM35" s="123"/>
      <c r="BN35" s="123"/>
      <c r="BO35" s="123"/>
      <c r="BP35" s="123"/>
      <c r="BQ35" s="123"/>
      <c r="BR35" s="124"/>
      <c r="BS35" s="123"/>
      <c r="BT35" s="127"/>
      <c r="BU35" s="221"/>
      <c r="BV35" s="7"/>
      <c r="BW35" s="7"/>
    </row>
    <row r="36" spans="1:75" ht="25.15" customHeight="1" x14ac:dyDescent="0.25">
      <c r="A36" s="131"/>
      <c r="B36" s="118"/>
      <c r="C36" s="118"/>
      <c r="D36" s="118"/>
      <c r="E36" s="220"/>
      <c r="F36" s="120"/>
      <c r="G36" s="121"/>
      <c r="H36" s="121"/>
      <c r="I36" s="125"/>
      <c r="J36" s="120"/>
      <c r="K36" s="121"/>
      <c r="L36" s="121"/>
      <c r="M36" s="122"/>
      <c r="N36" s="120"/>
      <c r="O36" s="121"/>
      <c r="P36" s="121"/>
      <c r="Q36" s="122"/>
      <c r="R36" s="120"/>
      <c r="S36" s="121"/>
      <c r="T36" s="121"/>
      <c r="U36" s="121"/>
      <c r="V36" s="122"/>
      <c r="W36" s="120"/>
      <c r="X36" s="121"/>
      <c r="Y36" s="121"/>
      <c r="Z36" s="122"/>
      <c r="AA36" s="120"/>
      <c r="AB36" s="121"/>
      <c r="AC36" s="121"/>
      <c r="AD36" s="121"/>
      <c r="AE36" s="121"/>
      <c r="AF36" s="121"/>
      <c r="AG36" s="121"/>
      <c r="AH36" s="122"/>
      <c r="AI36" s="120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2"/>
      <c r="AX36" s="123"/>
      <c r="AY36" s="123"/>
      <c r="AZ36" s="123"/>
      <c r="BA36" s="123"/>
      <c r="BB36" s="127"/>
      <c r="BC36" s="121"/>
      <c r="BD36" s="121"/>
      <c r="BE36" s="121"/>
      <c r="BF36" s="121"/>
      <c r="BG36" s="121"/>
      <c r="BH36" s="121"/>
      <c r="BI36" s="121"/>
      <c r="BJ36" s="121"/>
      <c r="BK36" s="121"/>
      <c r="BL36" s="125"/>
      <c r="BM36" s="123"/>
      <c r="BN36" s="123"/>
      <c r="BO36" s="123"/>
      <c r="BP36" s="123"/>
      <c r="BQ36" s="123"/>
      <c r="BR36" s="124"/>
      <c r="BS36" s="123"/>
      <c r="BT36" s="127"/>
      <c r="BU36" s="221"/>
      <c r="BV36" s="7"/>
      <c r="BW36" s="7"/>
    </row>
    <row r="37" spans="1:75" ht="25.15" customHeight="1" x14ac:dyDescent="0.25">
      <c r="A37" s="131"/>
      <c r="B37" s="118"/>
      <c r="C37" s="118"/>
      <c r="D37" s="118"/>
      <c r="E37" s="220"/>
      <c r="F37" s="120"/>
      <c r="G37" s="121"/>
      <c r="H37" s="121"/>
      <c r="I37" s="125"/>
      <c r="J37" s="120"/>
      <c r="K37" s="121"/>
      <c r="L37" s="121"/>
      <c r="M37" s="122"/>
      <c r="N37" s="120"/>
      <c r="O37" s="121"/>
      <c r="P37" s="121"/>
      <c r="Q37" s="122"/>
      <c r="R37" s="120"/>
      <c r="S37" s="121"/>
      <c r="T37" s="121"/>
      <c r="U37" s="121"/>
      <c r="V37" s="122"/>
      <c r="W37" s="120"/>
      <c r="X37" s="121"/>
      <c r="Y37" s="121"/>
      <c r="Z37" s="122"/>
      <c r="AA37" s="120"/>
      <c r="AB37" s="121"/>
      <c r="AC37" s="121"/>
      <c r="AD37" s="121"/>
      <c r="AE37" s="121"/>
      <c r="AF37" s="121"/>
      <c r="AG37" s="121"/>
      <c r="AH37" s="122"/>
      <c r="AI37" s="120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7"/>
      <c r="BC37" s="121"/>
      <c r="BD37" s="121"/>
      <c r="BE37" s="121"/>
      <c r="BF37" s="121"/>
      <c r="BG37" s="121"/>
      <c r="BH37" s="121"/>
      <c r="BI37" s="121"/>
      <c r="BJ37" s="121"/>
      <c r="BK37" s="121"/>
      <c r="BL37" s="125"/>
      <c r="BM37" s="123"/>
      <c r="BN37" s="123"/>
      <c r="BO37" s="123"/>
      <c r="BP37" s="123"/>
      <c r="BQ37" s="123"/>
      <c r="BR37" s="124"/>
      <c r="BS37" s="123"/>
      <c r="BT37" s="127"/>
      <c r="BU37" s="221"/>
      <c r="BV37" s="7"/>
      <c r="BW37" s="7"/>
    </row>
    <row r="38" spans="1:75" ht="25.15" customHeight="1" x14ac:dyDescent="0.25">
      <c r="A38" s="131"/>
      <c r="B38" s="118"/>
      <c r="C38" s="118"/>
      <c r="D38" s="118"/>
      <c r="E38" s="220"/>
      <c r="F38" s="120"/>
      <c r="G38" s="121"/>
      <c r="H38" s="121"/>
      <c r="I38" s="125"/>
      <c r="J38" s="120"/>
      <c r="K38" s="121"/>
      <c r="L38" s="121"/>
      <c r="M38" s="122"/>
      <c r="N38" s="120"/>
      <c r="O38" s="121"/>
      <c r="P38" s="121"/>
      <c r="Q38" s="122"/>
      <c r="R38" s="120"/>
      <c r="S38" s="121"/>
      <c r="T38" s="121"/>
      <c r="U38" s="121"/>
      <c r="V38" s="122"/>
      <c r="W38" s="120"/>
      <c r="X38" s="121"/>
      <c r="Y38" s="121"/>
      <c r="Z38" s="122"/>
      <c r="AA38" s="120"/>
      <c r="AB38" s="121"/>
      <c r="AC38" s="121"/>
      <c r="AD38" s="121"/>
      <c r="AE38" s="121"/>
      <c r="AF38" s="121"/>
      <c r="AG38" s="121"/>
      <c r="AH38" s="122"/>
      <c r="AI38" s="120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2"/>
      <c r="AX38" s="123"/>
      <c r="AY38" s="123"/>
      <c r="AZ38" s="123"/>
      <c r="BA38" s="123"/>
      <c r="BB38" s="127"/>
      <c r="BC38" s="121"/>
      <c r="BD38" s="121"/>
      <c r="BE38" s="121"/>
      <c r="BF38" s="121"/>
      <c r="BG38" s="121"/>
      <c r="BH38" s="121"/>
      <c r="BI38" s="121"/>
      <c r="BJ38" s="121"/>
      <c r="BK38" s="121"/>
      <c r="BL38" s="125"/>
      <c r="BM38" s="123"/>
      <c r="BN38" s="123"/>
      <c r="BO38" s="123"/>
      <c r="BP38" s="123"/>
      <c r="BQ38" s="123"/>
      <c r="BR38" s="124"/>
      <c r="BS38" s="123"/>
      <c r="BT38" s="127"/>
      <c r="BU38" s="221"/>
      <c r="BV38" s="7"/>
      <c r="BW38" s="7"/>
    </row>
    <row r="39" spans="1:75" ht="25.15" customHeight="1" x14ac:dyDescent="0.25">
      <c r="A39" s="131"/>
      <c r="B39" s="118"/>
      <c r="C39" s="118"/>
      <c r="D39" s="118"/>
      <c r="E39" s="220"/>
      <c r="F39" s="120"/>
      <c r="G39" s="121"/>
      <c r="H39" s="121"/>
      <c r="I39" s="125"/>
      <c r="J39" s="120"/>
      <c r="K39" s="121"/>
      <c r="L39" s="121"/>
      <c r="M39" s="122"/>
      <c r="N39" s="120"/>
      <c r="O39" s="121"/>
      <c r="P39" s="121"/>
      <c r="Q39" s="122"/>
      <c r="R39" s="120"/>
      <c r="S39" s="121"/>
      <c r="T39" s="121"/>
      <c r="U39" s="121"/>
      <c r="V39" s="122"/>
      <c r="W39" s="120"/>
      <c r="X39" s="121"/>
      <c r="Y39" s="121"/>
      <c r="Z39" s="122"/>
      <c r="AA39" s="120"/>
      <c r="AB39" s="121"/>
      <c r="AC39" s="121"/>
      <c r="AD39" s="121"/>
      <c r="AE39" s="121"/>
      <c r="AF39" s="121"/>
      <c r="AG39" s="121"/>
      <c r="AH39" s="122"/>
      <c r="AI39" s="120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7"/>
      <c r="BC39" s="121"/>
      <c r="BD39" s="121"/>
      <c r="BE39" s="121"/>
      <c r="BF39" s="121"/>
      <c r="BG39" s="121"/>
      <c r="BH39" s="121"/>
      <c r="BI39" s="121"/>
      <c r="BJ39" s="121"/>
      <c r="BK39" s="121"/>
      <c r="BL39" s="125"/>
      <c r="BM39" s="123"/>
      <c r="BN39" s="123"/>
      <c r="BO39" s="123"/>
      <c r="BP39" s="123"/>
      <c r="BQ39" s="123"/>
      <c r="BR39" s="124"/>
      <c r="BS39" s="123"/>
      <c r="BT39" s="127"/>
      <c r="BU39" s="221"/>
      <c r="BV39" s="7"/>
      <c r="BW39" s="7"/>
    </row>
    <row r="40" spans="1:75" ht="25.15" customHeight="1" x14ac:dyDescent="0.25">
      <c r="A40" s="131"/>
      <c r="B40" s="118"/>
      <c r="C40" s="118"/>
      <c r="D40" s="118"/>
      <c r="E40" s="220"/>
      <c r="F40" s="120"/>
      <c r="G40" s="121"/>
      <c r="H40" s="121"/>
      <c r="I40" s="125"/>
      <c r="J40" s="120"/>
      <c r="K40" s="121"/>
      <c r="L40" s="121"/>
      <c r="M40" s="122"/>
      <c r="N40" s="120"/>
      <c r="O40" s="121"/>
      <c r="P40" s="121"/>
      <c r="Q40" s="122"/>
      <c r="R40" s="120"/>
      <c r="S40" s="121"/>
      <c r="T40" s="121"/>
      <c r="U40" s="121"/>
      <c r="V40" s="122"/>
      <c r="W40" s="120"/>
      <c r="X40" s="121"/>
      <c r="Y40" s="121"/>
      <c r="Z40" s="122"/>
      <c r="AA40" s="120"/>
      <c r="AB40" s="121"/>
      <c r="AC40" s="121"/>
      <c r="AD40" s="121"/>
      <c r="AE40" s="121"/>
      <c r="AF40" s="121"/>
      <c r="AG40" s="121"/>
      <c r="AH40" s="122"/>
      <c r="AI40" s="120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2"/>
      <c r="AX40" s="123"/>
      <c r="AY40" s="123"/>
      <c r="AZ40" s="123"/>
      <c r="BA40" s="123"/>
      <c r="BB40" s="127"/>
      <c r="BC40" s="121"/>
      <c r="BD40" s="121"/>
      <c r="BE40" s="121"/>
      <c r="BF40" s="121"/>
      <c r="BG40" s="121"/>
      <c r="BH40" s="121"/>
      <c r="BI40" s="121"/>
      <c r="BJ40" s="121"/>
      <c r="BK40" s="121"/>
      <c r="BL40" s="125"/>
      <c r="BM40" s="123"/>
      <c r="BN40" s="123"/>
      <c r="BO40" s="123"/>
      <c r="BP40" s="123"/>
      <c r="BQ40" s="123"/>
      <c r="BR40" s="124"/>
      <c r="BS40" s="123"/>
      <c r="BT40" s="127"/>
      <c r="BU40" s="221"/>
      <c r="BV40" s="7"/>
      <c r="BW40" s="7"/>
    </row>
    <row r="41" spans="1:75" ht="25.15" customHeight="1" x14ac:dyDescent="0.25">
      <c r="A41" s="131"/>
      <c r="B41" s="118"/>
      <c r="C41" s="118"/>
      <c r="D41" s="118"/>
      <c r="E41" s="220"/>
      <c r="F41" s="120"/>
      <c r="G41" s="121"/>
      <c r="H41" s="121"/>
      <c r="I41" s="125"/>
      <c r="J41" s="120"/>
      <c r="K41" s="121"/>
      <c r="L41" s="121"/>
      <c r="M41" s="122"/>
      <c r="N41" s="120"/>
      <c r="O41" s="121"/>
      <c r="P41" s="121"/>
      <c r="Q41" s="122"/>
      <c r="R41" s="120"/>
      <c r="S41" s="121"/>
      <c r="T41" s="121"/>
      <c r="U41" s="121"/>
      <c r="V41" s="122"/>
      <c r="W41" s="120"/>
      <c r="X41" s="121"/>
      <c r="Y41" s="121"/>
      <c r="Z41" s="122"/>
      <c r="AA41" s="120"/>
      <c r="AB41" s="121"/>
      <c r="AC41" s="121"/>
      <c r="AD41" s="121"/>
      <c r="AE41" s="121"/>
      <c r="AF41" s="121"/>
      <c r="AG41" s="121"/>
      <c r="AH41" s="122"/>
      <c r="AI41" s="120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7"/>
      <c r="BC41" s="121"/>
      <c r="BD41" s="121"/>
      <c r="BE41" s="121"/>
      <c r="BF41" s="121"/>
      <c r="BG41" s="121"/>
      <c r="BH41" s="121"/>
      <c r="BI41" s="121"/>
      <c r="BJ41" s="121"/>
      <c r="BK41" s="121"/>
      <c r="BL41" s="125"/>
      <c r="BM41" s="123"/>
      <c r="BN41" s="123"/>
      <c r="BO41" s="123"/>
      <c r="BP41" s="123"/>
      <c r="BQ41" s="123"/>
      <c r="BR41" s="124"/>
      <c r="BS41" s="123"/>
      <c r="BT41" s="127"/>
      <c r="BU41" s="221"/>
      <c r="BV41" s="7"/>
      <c r="BW41" s="7"/>
    </row>
    <row r="42" spans="1:75" ht="25.15" customHeight="1" x14ac:dyDescent="0.25">
      <c r="A42" s="131"/>
      <c r="B42" s="118"/>
      <c r="C42" s="118"/>
      <c r="D42" s="118"/>
      <c r="E42" s="220"/>
      <c r="F42" s="120"/>
      <c r="G42" s="121"/>
      <c r="H42" s="121"/>
      <c r="I42" s="125"/>
      <c r="J42" s="120"/>
      <c r="K42" s="121"/>
      <c r="L42" s="121"/>
      <c r="M42" s="122"/>
      <c r="N42" s="120"/>
      <c r="O42" s="121"/>
      <c r="P42" s="121"/>
      <c r="Q42" s="122"/>
      <c r="R42" s="120"/>
      <c r="S42" s="121"/>
      <c r="T42" s="121"/>
      <c r="U42" s="121"/>
      <c r="V42" s="122"/>
      <c r="W42" s="120"/>
      <c r="X42" s="121"/>
      <c r="Y42" s="121"/>
      <c r="Z42" s="122"/>
      <c r="AA42" s="120"/>
      <c r="AB42" s="121"/>
      <c r="AC42" s="121"/>
      <c r="AD42" s="121"/>
      <c r="AE42" s="121"/>
      <c r="AF42" s="121"/>
      <c r="AG42" s="121"/>
      <c r="AH42" s="122"/>
      <c r="AI42" s="120"/>
      <c r="AJ42" s="121"/>
      <c r="AK42" s="121"/>
      <c r="AL42" s="121"/>
      <c r="AM42" s="121"/>
      <c r="AN42" s="222"/>
      <c r="AO42" s="223"/>
      <c r="AP42" s="223"/>
      <c r="AQ42" s="223"/>
      <c r="AR42" s="223"/>
      <c r="AS42" s="223"/>
      <c r="AT42" s="223"/>
      <c r="AU42" s="223"/>
      <c r="AV42" s="223"/>
      <c r="AW42" s="224"/>
      <c r="AX42" s="123"/>
      <c r="AY42" s="123"/>
      <c r="AZ42" s="123"/>
      <c r="BA42" s="123"/>
      <c r="BB42" s="127"/>
      <c r="BC42" s="121"/>
      <c r="BD42" s="121"/>
      <c r="BE42" s="121"/>
      <c r="BF42" s="121"/>
      <c r="BG42" s="121"/>
      <c r="BH42" s="121"/>
      <c r="BI42" s="121"/>
      <c r="BJ42" s="121"/>
      <c r="BK42" s="121"/>
      <c r="BL42" s="125"/>
      <c r="BM42" s="123"/>
      <c r="BN42" s="123"/>
      <c r="BO42" s="123"/>
      <c r="BP42" s="123"/>
      <c r="BQ42" s="123"/>
      <c r="BR42" s="124"/>
      <c r="BS42" s="123"/>
      <c r="BT42" s="127"/>
      <c r="BU42" s="221"/>
      <c r="BV42" s="7"/>
      <c r="BW42" s="7"/>
    </row>
    <row r="43" spans="1:75" ht="25.15" customHeight="1" x14ac:dyDescent="0.25">
      <c r="A43" s="131"/>
      <c r="B43" s="118"/>
      <c r="C43" s="118"/>
      <c r="D43" s="118"/>
      <c r="E43" s="220"/>
      <c r="F43" s="120"/>
      <c r="G43" s="121"/>
      <c r="H43" s="121"/>
      <c r="I43" s="125"/>
      <c r="J43" s="120"/>
      <c r="K43" s="121"/>
      <c r="L43" s="121"/>
      <c r="M43" s="122"/>
      <c r="N43" s="120"/>
      <c r="O43" s="121"/>
      <c r="P43" s="121"/>
      <c r="Q43" s="122"/>
      <c r="R43" s="120"/>
      <c r="S43" s="121"/>
      <c r="T43" s="121"/>
      <c r="U43" s="121"/>
      <c r="V43" s="122"/>
      <c r="W43" s="120"/>
      <c r="X43" s="121"/>
      <c r="Y43" s="121"/>
      <c r="Z43" s="122"/>
      <c r="AA43" s="120"/>
      <c r="AB43" s="121"/>
      <c r="AC43" s="121"/>
      <c r="AD43" s="121"/>
      <c r="AE43" s="121"/>
      <c r="AF43" s="121"/>
      <c r="AG43" s="121"/>
      <c r="AH43" s="122"/>
      <c r="AI43" s="120"/>
      <c r="AJ43" s="121"/>
      <c r="AK43" s="121"/>
      <c r="AL43" s="121"/>
      <c r="AM43" s="121"/>
      <c r="AN43" s="125"/>
      <c r="AO43" s="123"/>
      <c r="AP43" s="123"/>
      <c r="AQ43" s="123"/>
      <c r="AR43" s="123"/>
      <c r="AS43" s="123"/>
      <c r="AT43" s="123"/>
      <c r="AU43" s="123"/>
      <c r="AV43" s="123"/>
      <c r="AW43" s="124"/>
      <c r="AX43" s="123"/>
      <c r="AY43" s="123"/>
      <c r="AZ43" s="123"/>
      <c r="BA43" s="123"/>
      <c r="BB43" s="127"/>
      <c r="BC43" s="121"/>
      <c r="BD43" s="121"/>
      <c r="BE43" s="121"/>
      <c r="BF43" s="121"/>
      <c r="BG43" s="121"/>
      <c r="BH43" s="121"/>
      <c r="BI43" s="121"/>
      <c r="BJ43" s="121"/>
      <c r="BK43" s="121"/>
      <c r="BL43" s="125"/>
      <c r="BM43" s="123"/>
      <c r="BN43" s="123"/>
      <c r="BO43" s="123"/>
      <c r="BP43" s="123"/>
      <c r="BQ43" s="123"/>
      <c r="BR43" s="124"/>
      <c r="BS43" s="123"/>
      <c r="BT43" s="127"/>
      <c r="BU43" s="221"/>
      <c r="BV43" s="7"/>
      <c r="BW43" s="7"/>
    </row>
    <row r="44" spans="1:75" ht="25.15" customHeight="1" x14ac:dyDescent="0.25">
      <c r="A44" s="131"/>
      <c r="B44" s="118"/>
      <c r="C44" s="118"/>
      <c r="D44" s="118"/>
      <c r="E44" s="220"/>
      <c r="F44" s="120"/>
      <c r="G44" s="121"/>
      <c r="H44" s="121"/>
      <c r="I44" s="125"/>
      <c r="J44" s="120"/>
      <c r="K44" s="121"/>
      <c r="L44" s="121"/>
      <c r="M44" s="122"/>
      <c r="N44" s="120"/>
      <c r="O44" s="121"/>
      <c r="P44" s="121"/>
      <c r="Q44" s="122"/>
      <c r="R44" s="120"/>
      <c r="S44" s="121"/>
      <c r="T44" s="121"/>
      <c r="U44" s="121"/>
      <c r="V44" s="122"/>
      <c r="W44" s="120"/>
      <c r="X44" s="121"/>
      <c r="Y44" s="121"/>
      <c r="Z44" s="122"/>
      <c r="AA44" s="120"/>
      <c r="AB44" s="121"/>
      <c r="AC44" s="121"/>
      <c r="AD44" s="121"/>
      <c r="AE44" s="121"/>
      <c r="AF44" s="121"/>
      <c r="AG44" s="121"/>
      <c r="AH44" s="122"/>
      <c r="AI44" s="120"/>
      <c r="AJ44" s="121"/>
      <c r="AK44" s="121"/>
      <c r="AL44" s="121"/>
      <c r="AM44" s="121"/>
      <c r="AN44" s="222"/>
      <c r="AO44" s="223"/>
      <c r="AP44" s="223"/>
      <c r="AQ44" s="223"/>
      <c r="AR44" s="223"/>
      <c r="AS44" s="223"/>
      <c r="AT44" s="223"/>
      <c r="AU44" s="223"/>
      <c r="AV44" s="223"/>
      <c r="AW44" s="224"/>
      <c r="AX44" s="123"/>
      <c r="AY44" s="123"/>
      <c r="AZ44" s="123"/>
      <c r="BA44" s="123"/>
      <c r="BB44" s="127"/>
      <c r="BC44" s="121"/>
      <c r="BD44" s="121"/>
      <c r="BE44" s="121"/>
      <c r="BF44" s="121"/>
      <c r="BG44" s="121"/>
      <c r="BH44" s="121"/>
      <c r="BI44" s="121"/>
      <c r="BJ44" s="121"/>
      <c r="BK44" s="121"/>
      <c r="BL44" s="125"/>
      <c r="BM44" s="123"/>
      <c r="BN44" s="123"/>
      <c r="BO44" s="123"/>
      <c r="BP44" s="123"/>
      <c r="BQ44" s="123"/>
      <c r="BR44" s="124"/>
      <c r="BS44" s="123"/>
      <c r="BT44" s="127"/>
      <c r="BU44" s="221"/>
      <c r="BV44" s="7"/>
      <c r="BW44" s="7"/>
    </row>
    <row r="45" spans="1:75" ht="25.15" customHeight="1" x14ac:dyDescent="0.25">
      <c r="A45" s="131"/>
      <c r="B45" s="118"/>
      <c r="C45" s="118"/>
      <c r="D45" s="118"/>
      <c r="E45" s="220"/>
      <c r="F45" s="120"/>
      <c r="G45" s="121"/>
      <c r="H45" s="121"/>
      <c r="I45" s="125"/>
      <c r="J45" s="120"/>
      <c r="K45" s="121"/>
      <c r="L45" s="121"/>
      <c r="M45" s="122"/>
      <c r="N45" s="120"/>
      <c r="O45" s="121"/>
      <c r="P45" s="121"/>
      <c r="Q45" s="122"/>
      <c r="R45" s="120"/>
      <c r="S45" s="121"/>
      <c r="T45" s="121"/>
      <c r="U45" s="121"/>
      <c r="V45" s="122"/>
      <c r="W45" s="120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2"/>
      <c r="AI45" s="120"/>
      <c r="AJ45" s="121"/>
      <c r="AK45" s="121"/>
      <c r="AL45" s="121"/>
      <c r="AM45" s="121"/>
      <c r="AN45" s="225"/>
      <c r="AO45" s="129"/>
      <c r="AP45" s="129"/>
      <c r="AQ45" s="129"/>
      <c r="AR45" s="129"/>
      <c r="AS45" s="129"/>
      <c r="AT45" s="129"/>
      <c r="AU45" s="129"/>
      <c r="AV45" s="129"/>
      <c r="AW45" s="130"/>
      <c r="AX45" s="123"/>
      <c r="AY45" s="123"/>
      <c r="AZ45" s="123"/>
      <c r="BA45" s="123"/>
      <c r="BB45" s="127"/>
      <c r="BC45" s="121"/>
      <c r="BD45" s="121"/>
      <c r="BE45" s="121"/>
      <c r="BF45" s="121"/>
      <c r="BG45" s="121"/>
      <c r="BH45" s="121"/>
      <c r="BI45" s="121"/>
      <c r="BJ45" s="121"/>
      <c r="BK45" s="121"/>
      <c r="BL45" s="125"/>
      <c r="BM45" s="123"/>
      <c r="BN45" s="123"/>
      <c r="BO45" s="123"/>
      <c r="BP45" s="123"/>
      <c r="BQ45" s="123"/>
      <c r="BR45" s="124"/>
      <c r="BS45" s="123"/>
      <c r="BT45" s="127"/>
      <c r="BU45" s="221"/>
      <c r="BV45" s="7"/>
      <c r="BW45" s="7"/>
    </row>
    <row r="46" spans="1:75" ht="25.15" customHeight="1" x14ac:dyDescent="0.25">
      <c r="A46" s="131"/>
      <c r="B46" s="118"/>
      <c r="C46" s="118"/>
      <c r="D46" s="118"/>
      <c r="E46" s="220"/>
      <c r="F46" s="134"/>
      <c r="G46" s="135"/>
      <c r="H46" s="135"/>
      <c r="I46" s="136"/>
      <c r="J46" s="127"/>
      <c r="K46" s="121"/>
      <c r="L46" s="121"/>
      <c r="M46" s="125"/>
      <c r="N46" s="120"/>
      <c r="O46" s="121"/>
      <c r="P46" s="121"/>
      <c r="Q46" s="122"/>
      <c r="R46" s="120"/>
      <c r="S46" s="121"/>
      <c r="T46" s="121"/>
      <c r="U46" s="121"/>
      <c r="V46" s="122"/>
      <c r="W46" s="120"/>
      <c r="X46" s="121"/>
      <c r="Y46" s="121"/>
      <c r="Z46" s="122"/>
      <c r="AA46" s="120"/>
      <c r="AB46" s="121"/>
      <c r="AC46" s="121"/>
      <c r="AD46" s="121"/>
      <c r="AE46" s="121"/>
      <c r="AF46" s="121"/>
      <c r="AG46" s="121"/>
      <c r="AH46" s="122"/>
      <c r="AI46" s="120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2"/>
      <c r="AX46" s="123"/>
      <c r="AY46" s="123"/>
      <c r="AZ46" s="123"/>
      <c r="BA46" s="123"/>
      <c r="BB46" s="127"/>
      <c r="BC46" s="121"/>
      <c r="BD46" s="121"/>
      <c r="BE46" s="121"/>
      <c r="BF46" s="121"/>
      <c r="BG46" s="121"/>
      <c r="BH46" s="121"/>
      <c r="BI46" s="121"/>
      <c r="BJ46" s="121"/>
      <c r="BK46" s="121"/>
      <c r="BL46" s="125"/>
      <c r="BM46" s="123"/>
      <c r="BN46" s="123"/>
      <c r="BO46" s="123"/>
      <c r="BP46" s="123"/>
      <c r="BQ46" s="123"/>
      <c r="BR46" s="124"/>
      <c r="BS46" s="123"/>
      <c r="BT46" s="127"/>
      <c r="BU46" s="221"/>
      <c r="BV46" s="7"/>
      <c r="BW46" s="7"/>
    </row>
    <row r="47" spans="1:75" ht="25.15" customHeight="1" x14ac:dyDescent="0.25">
      <c r="A47" s="131"/>
      <c r="B47" s="118"/>
      <c r="C47" s="118"/>
      <c r="D47" s="118"/>
      <c r="E47" s="220"/>
      <c r="F47" s="120"/>
      <c r="G47" s="121"/>
      <c r="H47" s="121"/>
      <c r="I47" s="122"/>
      <c r="J47" s="120"/>
      <c r="K47" s="121"/>
      <c r="L47" s="121"/>
      <c r="M47" s="122"/>
      <c r="N47" s="120"/>
      <c r="O47" s="121"/>
      <c r="P47" s="121"/>
      <c r="Q47" s="122"/>
      <c r="R47" s="120"/>
      <c r="S47" s="121"/>
      <c r="T47" s="121"/>
      <c r="U47" s="121"/>
      <c r="V47" s="122"/>
      <c r="W47" s="120"/>
      <c r="X47" s="121"/>
      <c r="Y47" s="121"/>
      <c r="Z47" s="122"/>
      <c r="AA47" s="120"/>
      <c r="AB47" s="121"/>
      <c r="AC47" s="121"/>
      <c r="AD47" s="121"/>
      <c r="AE47" s="121"/>
      <c r="AF47" s="121"/>
      <c r="AG47" s="121"/>
      <c r="AH47" s="122"/>
      <c r="AI47" s="120"/>
      <c r="AJ47" s="121"/>
      <c r="AK47" s="121"/>
      <c r="AL47" s="121"/>
      <c r="AM47" s="121"/>
      <c r="AN47" s="226"/>
      <c r="AO47" s="216"/>
      <c r="AP47" s="216"/>
      <c r="AQ47" s="216"/>
      <c r="AR47" s="216"/>
      <c r="AS47" s="216"/>
      <c r="AT47" s="216"/>
      <c r="AU47" s="216"/>
      <c r="AV47" s="216"/>
      <c r="AW47" s="227"/>
      <c r="AX47" s="123"/>
      <c r="AY47" s="123"/>
      <c r="AZ47" s="123"/>
      <c r="BA47" s="123"/>
      <c r="BB47" s="127"/>
      <c r="BC47" s="121"/>
      <c r="BD47" s="121"/>
      <c r="BE47" s="121"/>
      <c r="BF47" s="121"/>
      <c r="BG47" s="121"/>
      <c r="BH47" s="121"/>
      <c r="BI47" s="121"/>
      <c r="BJ47" s="121"/>
      <c r="BK47" s="121"/>
      <c r="BL47" s="125"/>
      <c r="BM47" s="123"/>
      <c r="BN47" s="123"/>
      <c r="BO47" s="123"/>
      <c r="BP47" s="123"/>
      <c r="BQ47" s="123"/>
      <c r="BR47" s="124"/>
      <c r="BS47" s="123"/>
      <c r="BT47" s="127"/>
      <c r="BU47" s="221"/>
      <c r="BV47" s="7"/>
      <c r="BW47" s="7"/>
    </row>
    <row r="48" spans="1:75" ht="25.15" customHeight="1" thickBot="1" x14ac:dyDescent="0.3">
      <c r="A48" s="228" t="s">
        <v>51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30"/>
      <c r="BV48" s="7"/>
      <c r="BW48" s="7"/>
    </row>
    <row r="49" spans="1:75" ht="21" x14ac:dyDescent="0.35">
      <c r="A49" s="231" t="s">
        <v>52</v>
      </c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3"/>
      <c r="N49" s="234"/>
      <c r="O49" s="234"/>
      <c r="P49" s="234"/>
      <c r="Q49" s="234"/>
      <c r="R49" s="234"/>
      <c r="S49" s="234"/>
      <c r="T49" s="234"/>
      <c r="U49" s="234"/>
      <c r="V49" s="234"/>
      <c r="W49" s="235"/>
      <c r="X49" s="235"/>
      <c r="Y49" s="235"/>
      <c r="Z49" s="235"/>
      <c r="AA49" s="235"/>
      <c r="AB49" s="235"/>
      <c r="AC49" s="235"/>
      <c r="AD49" s="235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</row>
    <row r="50" spans="1:75" ht="19.5" thickBot="1" x14ac:dyDescent="0.3">
      <c r="A50" s="236" t="s">
        <v>53</v>
      </c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8"/>
      <c r="N50" s="234" t="s">
        <v>54</v>
      </c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39"/>
      <c r="BA50" s="239"/>
      <c r="BB50" s="239"/>
      <c r="BC50" s="239"/>
      <c r="BD50" s="239"/>
      <c r="BE50" s="239"/>
      <c r="BF50" s="239"/>
      <c r="BG50" s="239"/>
      <c r="BH50" s="239"/>
      <c r="BI50" s="239"/>
      <c r="BJ50" s="239"/>
      <c r="BK50" s="239"/>
      <c r="BL50" s="239"/>
      <c r="BM50" s="239"/>
      <c r="BN50" s="239"/>
      <c r="BO50" s="239"/>
      <c r="BP50" s="239"/>
      <c r="BQ50" s="239"/>
      <c r="BR50" s="239"/>
      <c r="BS50" s="239"/>
      <c r="BT50" s="239"/>
      <c r="BU50" s="239"/>
      <c r="BV50" s="234"/>
      <c r="BW50" s="234"/>
    </row>
    <row r="51" spans="1:75" ht="18.75" x14ac:dyDescent="0.3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34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234"/>
      <c r="BW51" s="234"/>
    </row>
    <row r="52" spans="1:75" ht="18.75" x14ac:dyDescent="0.3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34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234"/>
      <c r="BW52" s="234"/>
    </row>
    <row r="53" spans="1:75" ht="18.75" x14ac:dyDescent="0.3">
      <c r="A53" s="242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234"/>
      <c r="BW53" s="234"/>
    </row>
    <row r="54" spans="1:75" ht="19.5" thickBot="1" x14ac:dyDescent="0.35">
      <c r="A54" s="240" t="s">
        <v>55</v>
      </c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34"/>
      <c r="W54" s="234"/>
      <c r="X54" s="234"/>
      <c r="Y54" s="234"/>
      <c r="Z54" s="234"/>
      <c r="AA54" s="234"/>
      <c r="AB54" s="242"/>
      <c r="AC54" s="242"/>
      <c r="AD54" s="242"/>
      <c r="AE54" s="242"/>
      <c r="AF54" s="242"/>
      <c r="AG54" s="242"/>
      <c r="AH54" s="242"/>
      <c r="AI54" s="242"/>
      <c r="AJ54" s="242"/>
      <c r="AK54" s="234"/>
      <c r="AL54" s="234"/>
      <c r="AM54" s="234"/>
      <c r="AN54" s="234"/>
      <c r="AO54" s="234"/>
      <c r="AP54" s="234"/>
      <c r="AQ54" s="234"/>
      <c r="AR54" s="242"/>
      <c r="AS54" s="234"/>
      <c r="AT54" s="234"/>
      <c r="AU54" s="234"/>
      <c r="AV54" s="234"/>
      <c r="AW54" s="234"/>
      <c r="AX54" s="234"/>
      <c r="AY54" s="234"/>
      <c r="AZ54" s="242"/>
      <c r="BA54" s="243" t="s">
        <v>56</v>
      </c>
      <c r="BB54" s="243"/>
      <c r="BC54" s="243"/>
      <c r="BD54" s="243"/>
      <c r="BE54" s="243"/>
      <c r="BF54" s="243"/>
      <c r="BG54" s="243"/>
      <c r="BH54" s="243"/>
      <c r="BI54" s="243"/>
      <c r="BJ54" s="243"/>
      <c r="BK54" s="243"/>
      <c r="BL54" s="243"/>
      <c r="BM54" s="243"/>
      <c r="BN54" s="243"/>
      <c r="BO54" s="243"/>
      <c r="BP54" s="243"/>
      <c r="BQ54" s="243"/>
      <c r="BR54" s="243"/>
      <c r="BS54" s="243"/>
      <c r="BT54" s="243"/>
      <c r="BU54" s="243"/>
      <c r="BV54" s="234"/>
      <c r="BW54" s="234"/>
    </row>
    <row r="55" spans="1:75" ht="19.5" thickBot="1" x14ac:dyDescent="0.35">
      <c r="A55" s="244"/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34"/>
      <c r="W55" s="234"/>
      <c r="X55" s="245" t="s">
        <v>57</v>
      </c>
      <c r="Y55" s="245"/>
      <c r="Z55" s="245"/>
      <c r="AA55" s="245"/>
      <c r="AB55" s="245"/>
      <c r="AC55" s="245"/>
      <c r="AD55" s="246"/>
      <c r="AE55" s="246"/>
      <c r="AF55" s="246"/>
      <c r="AG55" s="246"/>
      <c r="AH55" s="246"/>
      <c r="AI55" s="246"/>
      <c r="AJ55" s="246"/>
      <c r="AK55" s="234"/>
      <c r="AL55" s="247" t="s">
        <v>42</v>
      </c>
      <c r="AM55" s="247"/>
      <c r="AN55" s="247"/>
      <c r="AO55" s="247"/>
      <c r="AP55" s="247"/>
      <c r="AQ55" s="247"/>
      <c r="AR55" s="246"/>
      <c r="AS55" s="246"/>
      <c r="AT55" s="246"/>
      <c r="AU55" s="246"/>
      <c r="AV55" s="246"/>
      <c r="AW55" s="246"/>
      <c r="AX55" s="246"/>
      <c r="AY55" s="234"/>
      <c r="AZ55" s="242"/>
      <c r="BA55" s="248"/>
      <c r="BB55" s="248"/>
      <c r="BC55" s="248"/>
      <c r="BD55" s="248"/>
      <c r="BE55" s="248"/>
      <c r="BF55" s="248"/>
      <c r="BG55" s="248"/>
      <c r="BH55" s="248"/>
      <c r="BI55" s="248"/>
      <c r="BJ55" s="248"/>
      <c r="BK55" s="248"/>
      <c r="BL55" s="248"/>
      <c r="BM55" s="248"/>
      <c r="BN55" s="248"/>
      <c r="BO55" s="248"/>
      <c r="BP55" s="248"/>
      <c r="BQ55" s="248"/>
      <c r="BR55" s="248"/>
      <c r="BS55" s="248"/>
      <c r="BT55" s="248"/>
      <c r="BU55" s="248"/>
      <c r="BV55" s="234"/>
      <c r="BW55" s="234"/>
    </row>
    <row r="56" spans="1:75" ht="19.5" thickBot="1" x14ac:dyDescent="0.35">
      <c r="A56" s="249" t="s">
        <v>58</v>
      </c>
      <c r="B56" s="249"/>
      <c r="C56" s="249"/>
      <c r="D56" s="249"/>
      <c r="E56" s="249"/>
      <c r="F56" s="249"/>
      <c r="G56" s="250" t="str">
        <f>Q12</f>
        <v>GUTIERREZ VALLEJOS NELSON</v>
      </c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34"/>
      <c r="W56" s="234"/>
      <c r="X56" s="245" t="s">
        <v>59</v>
      </c>
      <c r="Y56" s="245"/>
      <c r="Z56" s="245"/>
      <c r="AA56" s="245"/>
      <c r="AB56" s="245"/>
      <c r="AC56" s="245"/>
      <c r="AD56" s="246"/>
      <c r="AE56" s="246"/>
      <c r="AF56" s="246"/>
      <c r="AG56" s="246"/>
      <c r="AH56" s="246"/>
      <c r="AI56" s="246"/>
      <c r="AJ56" s="246"/>
      <c r="AK56" s="234"/>
      <c r="AL56" s="247" t="s">
        <v>37</v>
      </c>
      <c r="AM56" s="247"/>
      <c r="AN56" s="247"/>
      <c r="AO56" s="247"/>
      <c r="AP56" s="247"/>
      <c r="AQ56" s="247"/>
      <c r="AR56" s="246"/>
      <c r="AS56" s="246"/>
      <c r="AT56" s="246"/>
      <c r="AU56" s="246"/>
      <c r="AV56" s="246"/>
      <c r="AW56" s="246"/>
      <c r="AX56" s="246"/>
      <c r="AY56" s="234"/>
      <c r="AZ56" s="242"/>
      <c r="BA56" s="251" t="s">
        <v>58</v>
      </c>
      <c r="BB56" s="251"/>
      <c r="BC56" s="251"/>
      <c r="BD56" s="251"/>
      <c r="BE56" s="251"/>
      <c r="BF56" s="251"/>
      <c r="BG56" s="252" t="str">
        <f>AI12</f>
        <v>MARTINEZ GUTIERREZ JOSE</v>
      </c>
      <c r="BH56" s="252"/>
      <c r="BI56" s="252"/>
      <c r="BJ56" s="252"/>
      <c r="BK56" s="252"/>
      <c r="BL56" s="252"/>
      <c r="BM56" s="252"/>
      <c r="BN56" s="252"/>
      <c r="BO56" s="252"/>
      <c r="BP56" s="252"/>
      <c r="BQ56" s="252"/>
      <c r="BR56" s="252"/>
      <c r="BS56" s="252"/>
      <c r="BT56" s="252"/>
      <c r="BU56" s="252"/>
      <c r="BV56" s="234"/>
      <c r="BW56" s="234"/>
    </row>
    <row r="57" spans="1:75" ht="19.5" thickBot="1" x14ac:dyDescent="0.35">
      <c r="A57" s="244" t="s">
        <v>60</v>
      </c>
      <c r="B57" s="244"/>
      <c r="C57" s="244"/>
      <c r="D57" s="244"/>
      <c r="E57" s="244"/>
      <c r="F57" s="244"/>
      <c r="G57" s="244" t="str">
        <f>VLOOKUP(G56,[1]Hoja1!K2:L45,2,)</f>
        <v>PCH-577</v>
      </c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34"/>
      <c r="W57" s="234"/>
      <c r="X57" s="245" t="s">
        <v>41</v>
      </c>
      <c r="Y57" s="245"/>
      <c r="Z57" s="245"/>
      <c r="AA57" s="245"/>
      <c r="AB57" s="245"/>
      <c r="AC57" s="245"/>
      <c r="AD57" s="246"/>
      <c r="AE57" s="246"/>
      <c r="AF57" s="246"/>
      <c r="AG57" s="246"/>
      <c r="AH57" s="246"/>
      <c r="AI57" s="246"/>
      <c r="AJ57" s="246"/>
      <c r="AK57" s="242"/>
      <c r="AL57" s="253" t="s">
        <v>61</v>
      </c>
      <c r="AM57" s="253"/>
      <c r="AN57" s="253"/>
      <c r="AO57" s="253"/>
      <c r="AP57" s="253"/>
      <c r="AQ57" s="253"/>
      <c r="AR57" s="246"/>
      <c r="AS57" s="246"/>
      <c r="AT57" s="246"/>
      <c r="AU57" s="246"/>
      <c r="AV57" s="246"/>
      <c r="AW57" s="246"/>
      <c r="AX57" s="246"/>
      <c r="AY57" s="234"/>
      <c r="AZ57" s="242"/>
      <c r="BA57" s="248" t="s">
        <v>60</v>
      </c>
      <c r="BB57" s="248"/>
      <c r="BC57" s="248"/>
      <c r="BD57" s="248"/>
      <c r="BE57" s="248"/>
      <c r="BF57" s="248"/>
      <c r="BG57" s="248" t="str">
        <f>VLOOKUP(BG56,[1]Hoja1!K2:L45,2,)</f>
        <v>PCH-689</v>
      </c>
      <c r="BH57" s="248"/>
      <c r="BI57" s="248"/>
      <c r="BJ57" s="248"/>
      <c r="BK57" s="248"/>
      <c r="BL57" s="248"/>
      <c r="BM57" s="248"/>
      <c r="BN57" s="248"/>
      <c r="BO57" s="248"/>
      <c r="BP57" s="248"/>
      <c r="BQ57" s="248"/>
      <c r="BR57" s="248"/>
      <c r="BS57" s="248"/>
      <c r="BT57" s="248"/>
      <c r="BU57" s="248"/>
      <c r="BV57" s="234"/>
      <c r="BW57" s="234"/>
    </row>
    <row r="58" spans="1:75" ht="22.9" customHeigh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" t="s">
        <v>62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5"/>
      <c r="BA58" s="3" t="s">
        <v>63</v>
      </c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6"/>
      <c r="BV58" s="234"/>
      <c r="BW58" s="234"/>
    </row>
    <row r="59" spans="1:75" ht="22.9" customHeight="1" x14ac:dyDescent="0.25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11" t="s">
        <v>2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1" t="s">
        <v>64</v>
      </c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1" t="s">
        <v>4</v>
      </c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3"/>
      <c r="BV59" s="234"/>
      <c r="BW59" s="234"/>
    </row>
    <row r="60" spans="1:75" ht="22.9" customHeight="1" x14ac:dyDescent="0.25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3"/>
      <c r="BV60" s="234"/>
      <c r="BW60" s="234"/>
    </row>
    <row r="61" spans="1:75" ht="23.25" x14ac:dyDescent="0.35">
      <c r="A61" s="15" t="s">
        <v>65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7"/>
      <c r="BV61" s="234"/>
      <c r="BW61" s="234"/>
    </row>
    <row r="62" spans="1:75" ht="18.75" x14ac:dyDescent="0.25">
      <c r="A62" s="18" t="s">
        <v>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0"/>
      <c r="AB62" s="21" t="s">
        <v>7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20"/>
      <c r="BA62" s="21" t="s">
        <v>8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22"/>
      <c r="BV62" s="234"/>
      <c r="BW62" s="234"/>
    </row>
    <row r="63" spans="1:75" ht="19.5" thickBot="1" x14ac:dyDescent="0.3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5"/>
      <c r="AB63" s="26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5"/>
      <c r="BA63" s="26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7"/>
      <c r="BV63" s="234"/>
      <c r="BW63" s="234"/>
    </row>
    <row r="64" spans="1:75" ht="18.75" x14ac:dyDescent="0.3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34"/>
      <c r="W64" s="234"/>
      <c r="X64" s="255"/>
      <c r="Y64" s="255"/>
      <c r="Z64" s="255"/>
      <c r="AA64" s="255"/>
      <c r="AB64" s="255"/>
      <c r="AC64" s="255"/>
      <c r="AD64" s="256"/>
      <c r="AE64" s="256"/>
      <c r="AF64" s="256"/>
      <c r="AG64" s="256"/>
      <c r="AH64" s="256"/>
      <c r="AI64" s="256"/>
      <c r="AJ64" s="256"/>
      <c r="AK64" s="242"/>
      <c r="AL64" s="257"/>
      <c r="AM64" s="257"/>
      <c r="AN64" s="257"/>
      <c r="AO64" s="257"/>
      <c r="AP64" s="257"/>
      <c r="AQ64" s="257"/>
      <c r="AR64" s="256"/>
      <c r="AS64" s="256"/>
      <c r="AT64" s="256"/>
      <c r="AU64" s="256"/>
      <c r="AV64" s="256"/>
      <c r="AW64" s="256"/>
      <c r="AX64" s="256"/>
      <c r="AY64" s="234"/>
      <c r="AZ64" s="242"/>
      <c r="BA64" s="258"/>
      <c r="BB64" s="258"/>
      <c r="BC64" s="258"/>
      <c r="BD64" s="258"/>
      <c r="BE64" s="258"/>
      <c r="BF64" s="258"/>
      <c r="BG64" s="258"/>
      <c r="BH64" s="258"/>
      <c r="BI64" s="258"/>
      <c r="BJ64" s="258"/>
      <c r="BK64" s="258"/>
      <c r="BL64" s="258"/>
      <c r="BM64" s="258"/>
      <c r="BN64" s="258"/>
      <c r="BO64" s="258"/>
      <c r="BP64" s="258"/>
      <c r="BQ64" s="258"/>
      <c r="BR64" s="258"/>
      <c r="BS64" s="258"/>
      <c r="BT64" s="258"/>
      <c r="BU64" s="258"/>
      <c r="BV64" s="234"/>
      <c r="BW64" s="234"/>
    </row>
    <row r="65" spans="1:75" ht="21" x14ac:dyDescent="0.25">
      <c r="A65" s="14"/>
      <c r="B65" s="14"/>
      <c r="C65" s="14"/>
      <c r="D65" s="259" t="s">
        <v>66</v>
      </c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  <c r="AW65" s="260"/>
      <c r="AX65" s="260"/>
      <c r="AY65" s="260"/>
      <c r="AZ65" s="260"/>
      <c r="BA65" s="260"/>
      <c r="BB65" s="260"/>
      <c r="BC65" s="260"/>
      <c r="BD65" s="260"/>
      <c r="BE65" s="260"/>
      <c r="BF65" s="260"/>
      <c r="BG65" s="260"/>
      <c r="BH65" s="260"/>
      <c r="BI65" s="260"/>
      <c r="BJ65" s="260"/>
      <c r="BK65" s="260"/>
      <c r="BL65" s="260"/>
      <c r="BM65" s="260"/>
      <c r="BN65" s="260"/>
      <c r="BO65" s="260"/>
      <c r="BP65" s="260"/>
      <c r="BQ65" s="261"/>
      <c r="BR65" s="14"/>
      <c r="BS65" s="14"/>
      <c r="BT65" s="14"/>
      <c r="BU65" s="14"/>
      <c r="BV65" s="14"/>
      <c r="BW65" s="14"/>
    </row>
    <row r="66" spans="1:75" x14ac:dyDescent="0.25">
      <c r="A66" s="14"/>
      <c r="B66" s="14"/>
      <c r="C66" s="14"/>
      <c r="D66" s="262" t="s">
        <v>67</v>
      </c>
      <c r="E66" s="262"/>
      <c r="F66" s="262"/>
      <c r="G66" s="263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264"/>
      <c r="AL66" s="264"/>
      <c r="AM66" s="264"/>
      <c r="AN66" s="264"/>
      <c r="AO66" s="264"/>
      <c r="AP66" s="264"/>
      <c r="AQ66" s="264"/>
      <c r="AR66" s="264"/>
      <c r="AS66" s="264"/>
      <c r="AT66" s="264"/>
      <c r="AU66" s="264"/>
      <c r="AV66" s="264"/>
      <c r="AW66" s="264"/>
      <c r="AX66" s="264"/>
      <c r="AY66" s="264"/>
      <c r="AZ66" s="264"/>
      <c r="BA66" s="264"/>
      <c r="BB66" s="264"/>
      <c r="BC66" s="264"/>
      <c r="BD66" s="264"/>
      <c r="BE66" s="264"/>
      <c r="BF66" s="264"/>
      <c r="BG66" s="264"/>
      <c r="BH66" s="264"/>
      <c r="BI66" s="264"/>
      <c r="BJ66" s="264"/>
      <c r="BK66" s="264"/>
      <c r="BL66" s="264"/>
      <c r="BM66" s="264"/>
      <c r="BN66" s="264"/>
      <c r="BO66" s="264"/>
      <c r="BP66" s="264"/>
      <c r="BQ66" s="265"/>
      <c r="BR66" s="14"/>
      <c r="BS66" s="14"/>
      <c r="BT66" s="14"/>
      <c r="BU66" s="14"/>
      <c r="BV66" s="14"/>
      <c r="BW66" s="14"/>
    </row>
    <row r="67" spans="1:75" x14ac:dyDescent="0.25">
      <c r="A67" s="14"/>
      <c r="B67" s="14"/>
      <c r="C67" s="14"/>
      <c r="D67" s="262"/>
      <c r="E67" s="262"/>
      <c r="F67" s="262"/>
      <c r="G67" s="266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267"/>
      <c r="AS67" s="267"/>
      <c r="AT67" s="267"/>
      <c r="AU67" s="267"/>
      <c r="AV67" s="267"/>
      <c r="AW67" s="267"/>
      <c r="AX67" s="267"/>
      <c r="AY67" s="267"/>
      <c r="AZ67" s="267"/>
      <c r="BA67" s="267"/>
      <c r="BB67" s="267"/>
      <c r="BC67" s="267"/>
      <c r="BD67" s="267"/>
      <c r="BE67" s="267"/>
      <c r="BF67" s="267"/>
      <c r="BG67" s="267"/>
      <c r="BH67" s="267"/>
      <c r="BI67" s="267"/>
      <c r="BJ67" s="267"/>
      <c r="BK67" s="267"/>
      <c r="BL67" s="267"/>
      <c r="BM67" s="267"/>
      <c r="BN67" s="267"/>
      <c r="BO67" s="267"/>
      <c r="BP67" s="267"/>
      <c r="BQ67" s="268"/>
      <c r="BR67" s="14"/>
      <c r="BS67" s="14"/>
      <c r="BT67" s="14"/>
      <c r="BU67" s="14"/>
      <c r="BV67" s="14"/>
      <c r="BW67" s="14"/>
    </row>
    <row r="68" spans="1:75" x14ac:dyDescent="0.25">
      <c r="A68" s="14"/>
      <c r="B68" s="14"/>
      <c r="C68" s="14"/>
      <c r="D68" s="262"/>
      <c r="E68" s="262"/>
      <c r="F68" s="262"/>
      <c r="G68" s="263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4"/>
      <c r="BC68" s="264"/>
      <c r="BD68" s="264"/>
      <c r="BE68" s="264"/>
      <c r="BF68" s="264"/>
      <c r="BG68" s="264"/>
      <c r="BH68" s="264"/>
      <c r="BI68" s="264"/>
      <c r="BJ68" s="264"/>
      <c r="BK68" s="264"/>
      <c r="BL68" s="264"/>
      <c r="BM68" s="264"/>
      <c r="BN68" s="264"/>
      <c r="BO68" s="264"/>
      <c r="BP68" s="264"/>
      <c r="BQ68" s="265"/>
      <c r="BR68" s="14"/>
      <c r="BS68" s="14"/>
      <c r="BT68" s="14"/>
      <c r="BU68" s="14"/>
      <c r="BV68" s="14"/>
      <c r="BW68" s="14"/>
    </row>
    <row r="69" spans="1:75" x14ac:dyDescent="0.25">
      <c r="A69" s="14"/>
      <c r="B69" s="14"/>
      <c r="C69" s="14"/>
      <c r="D69" s="262"/>
      <c r="E69" s="262"/>
      <c r="F69" s="262"/>
      <c r="G69" s="266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  <c r="AR69" s="267"/>
      <c r="AS69" s="267"/>
      <c r="AT69" s="267"/>
      <c r="AU69" s="267"/>
      <c r="AV69" s="267"/>
      <c r="AW69" s="267"/>
      <c r="AX69" s="267"/>
      <c r="AY69" s="267"/>
      <c r="AZ69" s="267"/>
      <c r="BA69" s="267"/>
      <c r="BB69" s="267"/>
      <c r="BC69" s="267"/>
      <c r="BD69" s="267"/>
      <c r="BE69" s="267"/>
      <c r="BF69" s="267"/>
      <c r="BG69" s="267"/>
      <c r="BH69" s="267"/>
      <c r="BI69" s="267"/>
      <c r="BJ69" s="267"/>
      <c r="BK69" s="267"/>
      <c r="BL69" s="267"/>
      <c r="BM69" s="267"/>
      <c r="BN69" s="267"/>
      <c r="BO69" s="267"/>
      <c r="BP69" s="267"/>
      <c r="BQ69" s="268"/>
      <c r="BR69" s="14"/>
      <c r="BS69" s="14"/>
      <c r="BT69" s="14"/>
      <c r="BU69" s="14"/>
      <c r="BV69" s="14"/>
      <c r="BW69" s="14"/>
    </row>
    <row r="70" spans="1:75" x14ac:dyDescent="0.25">
      <c r="A70" s="14"/>
      <c r="B70" s="14"/>
      <c r="C70" s="14"/>
      <c r="D70" s="262" t="s">
        <v>68</v>
      </c>
      <c r="E70" s="262"/>
      <c r="F70" s="262"/>
      <c r="G70" s="263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4"/>
      <c r="AT70" s="264"/>
      <c r="AU70" s="264"/>
      <c r="AV70" s="264"/>
      <c r="AW70" s="264"/>
      <c r="AX70" s="264"/>
      <c r="AY70" s="264"/>
      <c r="AZ70" s="264"/>
      <c r="BA70" s="264"/>
      <c r="BB70" s="264"/>
      <c r="BC70" s="264"/>
      <c r="BD70" s="264"/>
      <c r="BE70" s="264"/>
      <c r="BF70" s="264"/>
      <c r="BG70" s="264"/>
      <c r="BH70" s="264"/>
      <c r="BI70" s="264"/>
      <c r="BJ70" s="264"/>
      <c r="BK70" s="264"/>
      <c r="BL70" s="264"/>
      <c r="BM70" s="264"/>
      <c r="BN70" s="264"/>
      <c r="BO70" s="264"/>
      <c r="BP70" s="264"/>
      <c r="BQ70" s="265"/>
      <c r="BR70" s="14"/>
      <c r="BS70" s="14"/>
      <c r="BT70" s="14"/>
      <c r="BU70" s="14"/>
      <c r="BV70" s="14"/>
      <c r="BW70" s="14"/>
    </row>
    <row r="71" spans="1:75" x14ac:dyDescent="0.25">
      <c r="A71" s="14"/>
      <c r="B71" s="14"/>
      <c r="C71" s="14"/>
      <c r="D71" s="262"/>
      <c r="E71" s="262"/>
      <c r="F71" s="262"/>
      <c r="G71" s="266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67"/>
      <c r="AR71" s="267"/>
      <c r="AS71" s="267"/>
      <c r="AT71" s="267"/>
      <c r="AU71" s="267"/>
      <c r="AV71" s="267"/>
      <c r="AW71" s="267"/>
      <c r="AX71" s="267"/>
      <c r="AY71" s="267"/>
      <c r="AZ71" s="267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  <c r="BP71" s="267"/>
      <c r="BQ71" s="268"/>
      <c r="BR71" s="14"/>
      <c r="BS71" s="14"/>
      <c r="BT71" s="14"/>
      <c r="BU71" s="14"/>
      <c r="BV71" s="14"/>
      <c r="BW71" s="14"/>
    </row>
    <row r="72" spans="1:75" x14ac:dyDescent="0.25">
      <c r="A72" s="14"/>
      <c r="B72" s="14"/>
      <c r="C72" s="14"/>
      <c r="D72" s="262"/>
      <c r="E72" s="262"/>
      <c r="F72" s="262"/>
      <c r="G72" s="263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  <c r="AM72" s="264"/>
      <c r="AN72" s="264"/>
      <c r="AO72" s="264"/>
      <c r="AP72" s="264"/>
      <c r="AQ72" s="264"/>
      <c r="AR72" s="264"/>
      <c r="AS72" s="264"/>
      <c r="AT72" s="264"/>
      <c r="AU72" s="264"/>
      <c r="AV72" s="264"/>
      <c r="AW72" s="264"/>
      <c r="AX72" s="264"/>
      <c r="AY72" s="264"/>
      <c r="AZ72" s="264"/>
      <c r="BA72" s="264"/>
      <c r="BB72" s="264"/>
      <c r="BC72" s="264"/>
      <c r="BD72" s="264"/>
      <c r="BE72" s="264"/>
      <c r="BF72" s="264"/>
      <c r="BG72" s="264"/>
      <c r="BH72" s="264"/>
      <c r="BI72" s="264"/>
      <c r="BJ72" s="264"/>
      <c r="BK72" s="264"/>
      <c r="BL72" s="264"/>
      <c r="BM72" s="264"/>
      <c r="BN72" s="264"/>
      <c r="BO72" s="264"/>
      <c r="BP72" s="264"/>
      <c r="BQ72" s="265"/>
      <c r="BR72" s="14"/>
      <c r="BS72" s="14"/>
      <c r="BT72" s="14"/>
      <c r="BU72" s="14"/>
      <c r="BV72" s="14"/>
      <c r="BW72" s="14"/>
    </row>
    <row r="73" spans="1:75" x14ac:dyDescent="0.25">
      <c r="A73" s="14"/>
      <c r="B73" s="14"/>
      <c r="C73" s="14"/>
      <c r="D73" s="262"/>
      <c r="E73" s="262"/>
      <c r="F73" s="262"/>
      <c r="G73" s="266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7"/>
      <c r="AT73" s="267"/>
      <c r="AU73" s="267"/>
      <c r="AV73" s="267"/>
      <c r="AW73" s="267"/>
      <c r="AX73" s="267"/>
      <c r="AY73" s="267"/>
      <c r="AZ73" s="267"/>
      <c r="BA73" s="267"/>
      <c r="BB73" s="267"/>
      <c r="BC73" s="267"/>
      <c r="BD73" s="267"/>
      <c r="BE73" s="267"/>
      <c r="BF73" s="267"/>
      <c r="BG73" s="267"/>
      <c r="BH73" s="267"/>
      <c r="BI73" s="267"/>
      <c r="BJ73" s="267"/>
      <c r="BK73" s="267"/>
      <c r="BL73" s="267"/>
      <c r="BM73" s="267"/>
      <c r="BN73" s="267"/>
      <c r="BO73" s="267"/>
      <c r="BP73" s="267"/>
      <c r="BQ73" s="268"/>
      <c r="BR73" s="14"/>
      <c r="BS73" s="14"/>
      <c r="BT73" s="14"/>
      <c r="BU73" s="14"/>
      <c r="BV73" s="14"/>
      <c r="BW73" s="14"/>
    </row>
    <row r="74" spans="1:75" x14ac:dyDescent="0.25">
      <c r="A74" s="14"/>
      <c r="B74" s="14"/>
      <c r="C74" s="14"/>
      <c r="D74" s="262" t="s">
        <v>69</v>
      </c>
      <c r="E74" s="262"/>
      <c r="F74" s="262"/>
      <c r="G74" s="263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4"/>
      <c r="AU74" s="264"/>
      <c r="AV74" s="264"/>
      <c r="AW74" s="264"/>
      <c r="AX74" s="264"/>
      <c r="AY74" s="264"/>
      <c r="AZ74" s="264"/>
      <c r="BA74" s="264"/>
      <c r="BB74" s="264"/>
      <c r="BC74" s="264"/>
      <c r="BD74" s="264"/>
      <c r="BE74" s="264"/>
      <c r="BF74" s="264"/>
      <c r="BG74" s="264"/>
      <c r="BH74" s="264"/>
      <c r="BI74" s="264"/>
      <c r="BJ74" s="264"/>
      <c r="BK74" s="264"/>
      <c r="BL74" s="264"/>
      <c r="BM74" s="264"/>
      <c r="BN74" s="264"/>
      <c r="BO74" s="264"/>
      <c r="BP74" s="264"/>
      <c r="BQ74" s="265"/>
      <c r="BR74" s="14"/>
      <c r="BS74" s="14"/>
      <c r="BT74" s="14"/>
      <c r="BU74" s="14"/>
      <c r="BV74" s="14"/>
      <c r="BW74" s="14"/>
    </row>
    <row r="75" spans="1:75" x14ac:dyDescent="0.25">
      <c r="A75" s="14"/>
      <c r="B75" s="14"/>
      <c r="C75" s="14"/>
      <c r="D75" s="262"/>
      <c r="E75" s="262"/>
      <c r="F75" s="262"/>
      <c r="G75" s="266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  <c r="AR75" s="267"/>
      <c r="AS75" s="267"/>
      <c r="AT75" s="267"/>
      <c r="AU75" s="267"/>
      <c r="AV75" s="267"/>
      <c r="AW75" s="267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  <c r="BO75" s="267"/>
      <c r="BP75" s="267"/>
      <c r="BQ75" s="268"/>
      <c r="BR75" s="14"/>
      <c r="BS75" s="14"/>
      <c r="BT75" s="14"/>
      <c r="BU75" s="14"/>
      <c r="BV75" s="14"/>
      <c r="BW75" s="14"/>
    </row>
    <row r="76" spans="1:75" x14ac:dyDescent="0.25">
      <c r="A76" s="14"/>
      <c r="B76" s="14"/>
      <c r="C76" s="14"/>
      <c r="D76" s="262"/>
      <c r="E76" s="262"/>
      <c r="F76" s="262"/>
      <c r="G76" s="263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4"/>
      <c r="AT76" s="264"/>
      <c r="AU76" s="264"/>
      <c r="AV76" s="264"/>
      <c r="AW76" s="264"/>
      <c r="AX76" s="264"/>
      <c r="AY76" s="264"/>
      <c r="AZ76" s="264"/>
      <c r="BA76" s="264"/>
      <c r="BB76" s="264"/>
      <c r="BC76" s="264"/>
      <c r="BD76" s="264"/>
      <c r="BE76" s="264"/>
      <c r="BF76" s="264"/>
      <c r="BG76" s="264"/>
      <c r="BH76" s="264"/>
      <c r="BI76" s="264"/>
      <c r="BJ76" s="264"/>
      <c r="BK76" s="264"/>
      <c r="BL76" s="264"/>
      <c r="BM76" s="264"/>
      <c r="BN76" s="264"/>
      <c r="BO76" s="264"/>
      <c r="BP76" s="264"/>
      <c r="BQ76" s="265"/>
      <c r="BR76" s="14"/>
      <c r="BS76" s="14"/>
      <c r="BT76" s="14"/>
      <c r="BU76" s="14"/>
      <c r="BV76" s="14"/>
      <c r="BW76" s="14"/>
    </row>
    <row r="77" spans="1:75" x14ac:dyDescent="0.25">
      <c r="A77" s="14"/>
      <c r="B77" s="14"/>
      <c r="C77" s="14"/>
      <c r="D77" s="262"/>
      <c r="E77" s="262"/>
      <c r="F77" s="262"/>
      <c r="G77" s="266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7"/>
      <c r="AZ77" s="267"/>
      <c r="BA77" s="267"/>
      <c r="BB77" s="267"/>
      <c r="BC77" s="267"/>
      <c r="BD77" s="267"/>
      <c r="BE77" s="267"/>
      <c r="BF77" s="267"/>
      <c r="BG77" s="267"/>
      <c r="BH77" s="267"/>
      <c r="BI77" s="267"/>
      <c r="BJ77" s="267"/>
      <c r="BK77" s="267"/>
      <c r="BL77" s="267"/>
      <c r="BM77" s="267"/>
      <c r="BN77" s="267"/>
      <c r="BO77" s="267"/>
      <c r="BP77" s="267"/>
      <c r="BQ77" s="268"/>
      <c r="BR77" s="14"/>
      <c r="BS77" s="14"/>
      <c r="BT77" s="14"/>
      <c r="BU77" s="14"/>
      <c r="BV77" s="14"/>
      <c r="BW77" s="14"/>
    </row>
    <row r="78" spans="1:75" x14ac:dyDescent="0.25">
      <c r="A78" s="14"/>
      <c r="B78" s="14"/>
      <c r="C78" s="14"/>
      <c r="D78" s="262" t="s">
        <v>70</v>
      </c>
      <c r="E78" s="262"/>
      <c r="F78" s="262"/>
      <c r="G78" s="263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  <c r="AM78" s="264"/>
      <c r="AN78" s="264"/>
      <c r="AO78" s="264"/>
      <c r="AP78" s="264"/>
      <c r="AQ78" s="264"/>
      <c r="AR78" s="264"/>
      <c r="AS78" s="264"/>
      <c r="AT78" s="264"/>
      <c r="AU78" s="264"/>
      <c r="AV78" s="264"/>
      <c r="AW78" s="264"/>
      <c r="AX78" s="264"/>
      <c r="AY78" s="264"/>
      <c r="AZ78" s="264"/>
      <c r="BA78" s="264"/>
      <c r="BB78" s="264"/>
      <c r="BC78" s="264"/>
      <c r="BD78" s="264"/>
      <c r="BE78" s="264"/>
      <c r="BF78" s="264"/>
      <c r="BG78" s="264"/>
      <c r="BH78" s="264"/>
      <c r="BI78" s="264"/>
      <c r="BJ78" s="264"/>
      <c r="BK78" s="264"/>
      <c r="BL78" s="264"/>
      <c r="BM78" s="264"/>
      <c r="BN78" s="264"/>
      <c r="BO78" s="264"/>
      <c r="BP78" s="264"/>
      <c r="BQ78" s="265"/>
      <c r="BR78" s="14"/>
      <c r="BS78" s="14"/>
      <c r="BT78" s="14"/>
      <c r="BU78" s="14"/>
      <c r="BV78" s="14"/>
      <c r="BW78" s="14"/>
    </row>
    <row r="79" spans="1:75" x14ac:dyDescent="0.25">
      <c r="A79" s="14"/>
      <c r="B79" s="14"/>
      <c r="C79" s="14"/>
      <c r="D79" s="262"/>
      <c r="E79" s="262"/>
      <c r="F79" s="262"/>
      <c r="G79" s="266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  <c r="AM79" s="267"/>
      <c r="AN79" s="267"/>
      <c r="AO79" s="267"/>
      <c r="AP79" s="267"/>
      <c r="AQ79" s="267"/>
      <c r="AR79" s="267"/>
      <c r="AS79" s="267"/>
      <c r="AT79" s="267"/>
      <c r="AU79" s="267"/>
      <c r="AV79" s="267"/>
      <c r="AW79" s="267"/>
      <c r="AX79" s="267"/>
      <c r="AY79" s="267"/>
      <c r="AZ79" s="267"/>
      <c r="BA79" s="267"/>
      <c r="BB79" s="267"/>
      <c r="BC79" s="267"/>
      <c r="BD79" s="267"/>
      <c r="BE79" s="267"/>
      <c r="BF79" s="267"/>
      <c r="BG79" s="267"/>
      <c r="BH79" s="267"/>
      <c r="BI79" s="267"/>
      <c r="BJ79" s="267"/>
      <c r="BK79" s="267"/>
      <c r="BL79" s="267"/>
      <c r="BM79" s="267"/>
      <c r="BN79" s="267"/>
      <c r="BO79" s="267"/>
      <c r="BP79" s="267"/>
      <c r="BQ79" s="268"/>
      <c r="BR79" s="14"/>
      <c r="BS79" s="14"/>
      <c r="BT79" s="14"/>
      <c r="BU79" s="14"/>
      <c r="BV79" s="14"/>
      <c r="BW79" s="14"/>
    </row>
    <row r="80" spans="1:75" x14ac:dyDescent="0.25">
      <c r="A80" s="14"/>
      <c r="B80" s="14"/>
      <c r="C80" s="14"/>
      <c r="D80" s="262"/>
      <c r="E80" s="262"/>
      <c r="F80" s="262"/>
      <c r="G80" s="263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  <c r="AM80" s="264"/>
      <c r="AN80" s="264"/>
      <c r="AO80" s="264"/>
      <c r="AP80" s="264"/>
      <c r="AQ80" s="264"/>
      <c r="AR80" s="264"/>
      <c r="AS80" s="264"/>
      <c r="AT80" s="264"/>
      <c r="AU80" s="264"/>
      <c r="AV80" s="264"/>
      <c r="AW80" s="264"/>
      <c r="AX80" s="264"/>
      <c r="AY80" s="264"/>
      <c r="AZ80" s="264"/>
      <c r="BA80" s="264"/>
      <c r="BB80" s="264"/>
      <c r="BC80" s="264"/>
      <c r="BD80" s="264"/>
      <c r="BE80" s="264"/>
      <c r="BF80" s="264"/>
      <c r="BG80" s="264"/>
      <c r="BH80" s="264"/>
      <c r="BI80" s="264"/>
      <c r="BJ80" s="264"/>
      <c r="BK80" s="264"/>
      <c r="BL80" s="264"/>
      <c r="BM80" s="264"/>
      <c r="BN80" s="264"/>
      <c r="BO80" s="264"/>
      <c r="BP80" s="264"/>
      <c r="BQ80" s="265"/>
      <c r="BR80" s="14"/>
      <c r="BS80" s="14"/>
      <c r="BT80" s="14"/>
      <c r="BU80" s="14"/>
      <c r="BV80" s="14"/>
      <c r="BW80" s="14"/>
    </row>
    <row r="81" spans="1:75" x14ac:dyDescent="0.25">
      <c r="A81" s="14"/>
      <c r="B81" s="14"/>
      <c r="C81" s="14"/>
      <c r="D81" s="262"/>
      <c r="E81" s="262"/>
      <c r="F81" s="262"/>
      <c r="G81" s="266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267"/>
      <c r="AY81" s="267"/>
      <c r="AZ81" s="267"/>
      <c r="BA81" s="267"/>
      <c r="BB81" s="267"/>
      <c r="BC81" s="267"/>
      <c r="BD81" s="267"/>
      <c r="BE81" s="267"/>
      <c r="BF81" s="267"/>
      <c r="BG81" s="267"/>
      <c r="BH81" s="267"/>
      <c r="BI81" s="267"/>
      <c r="BJ81" s="267"/>
      <c r="BK81" s="267"/>
      <c r="BL81" s="267"/>
      <c r="BM81" s="267"/>
      <c r="BN81" s="267"/>
      <c r="BO81" s="267"/>
      <c r="BP81" s="267"/>
      <c r="BQ81" s="268"/>
      <c r="BR81" s="14"/>
      <c r="BS81" s="14"/>
      <c r="BT81" s="14"/>
      <c r="BU81" s="14"/>
      <c r="BV81" s="14"/>
      <c r="BW81" s="14"/>
    </row>
    <row r="82" spans="1:75" x14ac:dyDescent="0.25">
      <c r="A82" s="14"/>
      <c r="B82" s="14"/>
      <c r="C82" s="14"/>
      <c r="D82" s="262" t="s">
        <v>71</v>
      </c>
      <c r="E82" s="262"/>
      <c r="F82" s="262"/>
      <c r="G82" s="263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4"/>
      <c r="AT82" s="264"/>
      <c r="AU82" s="264"/>
      <c r="AV82" s="264"/>
      <c r="AW82" s="264"/>
      <c r="AX82" s="264"/>
      <c r="AY82" s="264"/>
      <c r="AZ82" s="264"/>
      <c r="BA82" s="264"/>
      <c r="BB82" s="264"/>
      <c r="BC82" s="264"/>
      <c r="BD82" s="264"/>
      <c r="BE82" s="264"/>
      <c r="BF82" s="264"/>
      <c r="BG82" s="264"/>
      <c r="BH82" s="264"/>
      <c r="BI82" s="264"/>
      <c r="BJ82" s="264"/>
      <c r="BK82" s="264"/>
      <c r="BL82" s="264"/>
      <c r="BM82" s="264"/>
      <c r="BN82" s="264"/>
      <c r="BO82" s="264"/>
      <c r="BP82" s="264"/>
      <c r="BQ82" s="265"/>
      <c r="BR82" s="14"/>
      <c r="BS82" s="14"/>
      <c r="BT82" s="14"/>
      <c r="BU82" s="14"/>
      <c r="BV82" s="14"/>
      <c r="BW82" s="14"/>
    </row>
    <row r="83" spans="1:75" x14ac:dyDescent="0.25">
      <c r="A83" s="14"/>
      <c r="B83" s="14"/>
      <c r="C83" s="14"/>
      <c r="D83" s="262"/>
      <c r="E83" s="262"/>
      <c r="F83" s="262"/>
      <c r="G83" s="266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  <c r="AM83" s="267"/>
      <c r="AN83" s="267"/>
      <c r="AO83" s="267"/>
      <c r="AP83" s="267"/>
      <c r="AQ83" s="267"/>
      <c r="AR83" s="267"/>
      <c r="AS83" s="267"/>
      <c r="AT83" s="267"/>
      <c r="AU83" s="267"/>
      <c r="AV83" s="267"/>
      <c r="AW83" s="267"/>
      <c r="AX83" s="267"/>
      <c r="AY83" s="267"/>
      <c r="AZ83" s="267"/>
      <c r="BA83" s="267"/>
      <c r="BB83" s="267"/>
      <c r="BC83" s="267"/>
      <c r="BD83" s="267"/>
      <c r="BE83" s="267"/>
      <c r="BF83" s="267"/>
      <c r="BG83" s="267"/>
      <c r="BH83" s="267"/>
      <c r="BI83" s="267"/>
      <c r="BJ83" s="267"/>
      <c r="BK83" s="267"/>
      <c r="BL83" s="267"/>
      <c r="BM83" s="267"/>
      <c r="BN83" s="267"/>
      <c r="BO83" s="267"/>
      <c r="BP83" s="267"/>
      <c r="BQ83" s="268"/>
      <c r="BR83" s="14"/>
      <c r="BS83" s="14"/>
      <c r="BT83" s="14"/>
      <c r="BU83" s="14"/>
      <c r="BV83" s="14"/>
      <c r="BW83" s="14"/>
    </row>
    <row r="84" spans="1:75" x14ac:dyDescent="0.25">
      <c r="A84" s="14"/>
      <c r="B84" s="14"/>
      <c r="C84" s="14"/>
      <c r="D84" s="262"/>
      <c r="E84" s="262"/>
      <c r="F84" s="262"/>
      <c r="G84" s="263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4"/>
      <c r="AU84" s="264"/>
      <c r="AV84" s="264"/>
      <c r="AW84" s="264"/>
      <c r="AX84" s="264"/>
      <c r="AY84" s="264"/>
      <c r="AZ84" s="264"/>
      <c r="BA84" s="264"/>
      <c r="BB84" s="264"/>
      <c r="BC84" s="264"/>
      <c r="BD84" s="264"/>
      <c r="BE84" s="264"/>
      <c r="BF84" s="264"/>
      <c r="BG84" s="264"/>
      <c r="BH84" s="264"/>
      <c r="BI84" s="264"/>
      <c r="BJ84" s="264"/>
      <c r="BK84" s="264"/>
      <c r="BL84" s="264"/>
      <c r="BM84" s="264"/>
      <c r="BN84" s="264"/>
      <c r="BO84" s="264"/>
      <c r="BP84" s="264"/>
      <c r="BQ84" s="265"/>
      <c r="BR84" s="14"/>
      <c r="BS84" s="14"/>
      <c r="BT84" s="14"/>
      <c r="BU84" s="14"/>
      <c r="BV84" s="14"/>
      <c r="BW84" s="14"/>
    </row>
    <row r="85" spans="1:75" x14ac:dyDescent="0.25">
      <c r="A85" s="14"/>
      <c r="B85" s="14"/>
      <c r="C85" s="14"/>
      <c r="D85" s="262"/>
      <c r="E85" s="262"/>
      <c r="F85" s="262"/>
      <c r="G85" s="266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  <c r="AM85" s="267"/>
      <c r="AN85" s="267"/>
      <c r="AO85" s="267"/>
      <c r="AP85" s="267"/>
      <c r="AQ85" s="267"/>
      <c r="AR85" s="267"/>
      <c r="AS85" s="267"/>
      <c r="AT85" s="267"/>
      <c r="AU85" s="267"/>
      <c r="AV85" s="267"/>
      <c r="AW85" s="267"/>
      <c r="AX85" s="267"/>
      <c r="AY85" s="267"/>
      <c r="AZ85" s="267"/>
      <c r="BA85" s="267"/>
      <c r="BB85" s="267"/>
      <c r="BC85" s="267"/>
      <c r="BD85" s="267"/>
      <c r="BE85" s="267"/>
      <c r="BF85" s="267"/>
      <c r="BG85" s="267"/>
      <c r="BH85" s="267"/>
      <c r="BI85" s="267"/>
      <c r="BJ85" s="267"/>
      <c r="BK85" s="267"/>
      <c r="BL85" s="267"/>
      <c r="BM85" s="267"/>
      <c r="BN85" s="267"/>
      <c r="BO85" s="267"/>
      <c r="BP85" s="267"/>
      <c r="BQ85" s="268"/>
      <c r="BR85" s="14"/>
      <c r="BS85" s="14"/>
      <c r="BT85" s="14"/>
      <c r="BU85" s="14"/>
      <c r="BV85" s="14"/>
      <c r="BW85" s="14"/>
    </row>
    <row r="86" spans="1:75" x14ac:dyDescent="0.25">
      <c r="A86" s="14"/>
      <c r="B86" s="14"/>
      <c r="C86" s="14"/>
      <c r="D86" s="262" t="s">
        <v>72</v>
      </c>
      <c r="E86" s="262"/>
      <c r="F86" s="262"/>
      <c r="G86" s="263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4"/>
      <c r="AT86" s="264"/>
      <c r="AU86" s="264"/>
      <c r="AV86" s="264"/>
      <c r="AW86" s="264"/>
      <c r="AX86" s="264"/>
      <c r="AY86" s="264"/>
      <c r="AZ86" s="264"/>
      <c r="BA86" s="264"/>
      <c r="BB86" s="264"/>
      <c r="BC86" s="264"/>
      <c r="BD86" s="264"/>
      <c r="BE86" s="264"/>
      <c r="BF86" s="264"/>
      <c r="BG86" s="264"/>
      <c r="BH86" s="264"/>
      <c r="BI86" s="264"/>
      <c r="BJ86" s="264"/>
      <c r="BK86" s="264"/>
      <c r="BL86" s="264"/>
      <c r="BM86" s="264"/>
      <c r="BN86" s="264"/>
      <c r="BO86" s="264"/>
      <c r="BP86" s="264"/>
      <c r="BQ86" s="265"/>
      <c r="BR86" s="14"/>
      <c r="BS86" s="14"/>
      <c r="BT86" s="14"/>
      <c r="BU86" s="14"/>
      <c r="BV86" s="14"/>
      <c r="BW86" s="14"/>
    </row>
    <row r="87" spans="1:75" x14ac:dyDescent="0.25">
      <c r="A87" s="14"/>
      <c r="B87" s="14"/>
      <c r="C87" s="14"/>
      <c r="D87" s="262"/>
      <c r="E87" s="262"/>
      <c r="F87" s="262"/>
      <c r="G87" s="266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  <c r="AT87" s="267"/>
      <c r="AU87" s="267"/>
      <c r="AV87" s="267"/>
      <c r="AW87" s="267"/>
      <c r="AX87" s="267"/>
      <c r="AY87" s="267"/>
      <c r="AZ87" s="267"/>
      <c r="BA87" s="267"/>
      <c r="BB87" s="267"/>
      <c r="BC87" s="267"/>
      <c r="BD87" s="267"/>
      <c r="BE87" s="267"/>
      <c r="BF87" s="267"/>
      <c r="BG87" s="267"/>
      <c r="BH87" s="267"/>
      <c r="BI87" s="267"/>
      <c r="BJ87" s="267"/>
      <c r="BK87" s="267"/>
      <c r="BL87" s="267"/>
      <c r="BM87" s="267"/>
      <c r="BN87" s="267"/>
      <c r="BO87" s="267"/>
      <c r="BP87" s="267"/>
      <c r="BQ87" s="268"/>
      <c r="BR87" s="14"/>
      <c r="BS87" s="14"/>
      <c r="BT87" s="14"/>
      <c r="BU87" s="14"/>
      <c r="BV87" s="14"/>
      <c r="BW87" s="14"/>
    </row>
    <row r="88" spans="1:75" x14ac:dyDescent="0.25">
      <c r="A88" s="14"/>
      <c r="B88" s="14"/>
      <c r="C88" s="14"/>
      <c r="D88" s="262"/>
      <c r="E88" s="262"/>
      <c r="F88" s="262"/>
      <c r="G88" s="263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64"/>
      <c r="AK88" s="264"/>
      <c r="AL88" s="264"/>
      <c r="AM88" s="264"/>
      <c r="AN88" s="264"/>
      <c r="AO88" s="264"/>
      <c r="AP88" s="264"/>
      <c r="AQ88" s="264"/>
      <c r="AR88" s="264"/>
      <c r="AS88" s="264"/>
      <c r="AT88" s="264"/>
      <c r="AU88" s="264"/>
      <c r="AV88" s="264"/>
      <c r="AW88" s="264"/>
      <c r="AX88" s="264"/>
      <c r="AY88" s="264"/>
      <c r="AZ88" s="264"/>
      <c r="BA88" s="264"/>
      <c r="BB88" s="264"/>
      <c r="BC88" s="264"/>
      <c r="BD88" s="264"/>
      <c r="BE88" s="264"/>
      <c r="BF88" s="264"/>
      <c r="BG88" s="264"/>
      <c r="BH88" s="264"/>
      <c r="BI88" s="264"/>
      <c r="BJ88" s="264"/>
      <c r="BK88" s="264"/>
      <c r="BL88" s="264"/>
      <c r="BM88" s="264"/>
      <c r="BN88" s="264"/>
      <c r="BO88" s="264"/>
      <c r="BP88" s="264"/>
      <c r="BQ88" s="265"/>
      <c r="BR88" s="14"/>
      <c r="BS88" s="14"/>
      <c r="BT88" s="14"/>
      <c r="BU88" s="14"/>
      <c r="BV88" s="14"/>
      <c r="BW88" s="14"/>
    </row>
    <row r="89" spans="1:75" x14ac:dyDescent="0.25">
      <c r="A89" s="14"/>
      <c r="B89" s="14"/>
      <c r="C89" s="14"/>
      <c r="D89" s="262"/>
      <c r="E89" s="262"/>
      <c r="F89" s="262"/>
      <c r="G89" s="266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  <c r="AM89" s="267"/>
      <c r="AN89" s="267"/>
      <c r="AO89" s="267"/>
      <c r="AP89" s="267"/>
      <c r="AQ89" s="267"/>
      <c r="AR89" s="267"/>
      <c r="AS89" s="267"/>
      <c r="AT89" s="267"/>
      <c r="AU89" s="267"/>
      <c r="AV89" s="267"/>
      <c r="AW89" s="267"/>
      <c r="AX89" s="267"/>
      <c r="AY89" s="267"/>
      <c r="AZ89" s="267"/>
      <c r="BA89" s="267"/>
      <c r="BB89" s="267"/>
      <c r="BC89" s="267"/>
      <c r="BD89" s="267"/>
      <c r="BE89" s="267"/>
      <c r="BF89" s="267"/>
      <c r="BG89" s="267"/>
      <c r="BH89" s="267"/>
      <c r="BI89" s="267"/>
      <c r="BJ89" s="267"/>
      <c r="BK89" s="267"/>
      <c r="BL89" s="267"/>
      <c r="BM89" s="267"/>
      <c r="BN89" s="267"/>
      <c r="BO89" s="267"/>
      <c r="BP89" s="267"/>
      <c r="BQ89" s="268"/>
      <c r="BR89" s="14"/>
      <c r="BS89" s="14"/>
      <c r="BT89" s="14"/>
      <c r="BU89" s="14"/>
      <c r="BV89" s="14"/>
      <c r="BW89" s="14"/>
    </row>
    <row r="90" spans="1:7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</row>
    <row r="91" spans="1:75" ht="21" x14ac:dyDescent="0.25">
      <c r="A91" s="14"/>
      <c r="B91" s="14"/>
      <c r="C91" s="14"/>
      <c r="D91" s="269" t="s">
        <v>73</v>
      </c>
      <c r="E91" s="269"/>
      <c r="F91" s="269"/>
      <c r="G91" s="270" t="s">
        <v>74</v>
      </c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1"/>
      <c r="AW91" s="271"/>
      <c r="AX91" s="271"/>
      <c r="AY91" s="271"/>
      <c r="AZ91" s="271"/>
      <c r="BA91" s="271"/>
      <c r="BB91" s="271"/>
      <c r="BC91" s="271"/>
      <c r="BD91" s="271"/>
      <c r="BE91" s="271"/>
      <c r="BF91" s="271"/>
      <c r="BG91" s="271"/>
      <c r="BH91" s="271"/>
      <c r="BI91" s="271"/>
      <c r="BJ91" s="271"/>
      <c r="BK91" s="271"/>
      <c r="BL91" s="271"/>
      <c r="BM91" s="271"/>
      <c r="BN91" s="271"/>
      <c r="BO91" s="271"/>
      <c r="BP91" s="271"/>
      <c r="BQ91" s="272"/>
      <c r="BR91" s="14"/>
      <c r="BS91" s="14"/>
      <c r="BT91" s="14"/>
      <c r="BU91" s="14"/>
      <c r="BV91" s="14"/>
      <c r="BW91" s="14"/>
    </row>
    <row r="92" spans="1:75" x14ac:dyDescent="0.25">
      <c r="A92" s="14"/>
      <c r="B92" s="14"/>
      <c r="C92" s="14"/>
      <c r="D92" s="273" t="s">
        <v>75</v>
      </c>
      <c r="E92" s="274"/>
      <c r="F92" s="275"/>
      <c r="G92" s="276" t="s">
        <v>76</v>
      </c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  <c r="AL92" s="277"/>
      <c r="AM92" s="277"/>
      <c r="AN92" s="277"/>
      <c r="AO92" s="277"/>
      <c r="AP92" s="277"/>
      <c r="AQ92" s="277"/>
      <c r="AR92" s="277"/>
      <c r="AS92" s="277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7"/>
      <c r="BH92" s="277"/>
      <c r="BI92" s="277"/>
      <c r="BJ92" s="277"/>
      <c r="BK92" s="277"/>
      <c r="BL92" s="277"/>
      <c r="BM92" s="277"/>
      <c r="BN92" s="277"/>
      <c r="BO92" s="277"/>
      <c r="BP92" s="277"/>
      <c r="BQ92" s="278"/>
      <c r="BR92" s="14"/>
      <c r="BS92" s="14"/>
      <c r="BT92" s="14"/>
      <c r="BU92" s="14"/>
      <c r="BV92" s="14"/>
      <c r="BW92" s="14"/>
    </row>
    <row r="93" spans="1:75" x14ac:dyDescent="0.25">
      <c r="A93" s="14"/>
      <c r="B93" s="14"/>
      <c r="C93" s="14"/>
      <c r="D93" s="279"/>
      <c r="E93" s="280"/>
      <c r="F93" s="281"/>
      <c r="G93" s="282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83"/>
      <c r="BF93" s="283"/>
      <c r="BG93" s="283"/>
      <c r="BH93" s="283"/>
      <c r="BI93" s="283"/>
      <c r="BJ93" s="283"/>
      <c r="BK93" s="283"/>
      <c r="BL93" s="283"/>
      <c r="BM93" s="283"/>
      <c r="BN93" s="283"/>
      <c r="BO93" s="283"/>
      <c r="BP93" s="283"/>
      <c r="BQ93" s="284"/>
      <c r="BR93" s="14"/>
      <c r="BS93" s="14"/>
      <c r="BT93" s="14"/>
      <c r="BU93" s="14"/>
      <c r="BV93" s="14"/>
      <c r="BW93" s="14"/>
    </row>
    <row r="94" spans="1:75" x14ac:dyDescent="0.25">
      <c r="A94" s="14"/>
      <c r="B94" s="14"/>
      <c r="C94" s="14"/>
      <c r="D94" s="273" t="s">
        <v>77</v>
      </c>
      <c r="E94" s="274"/>
      <c r="F94" s="275"/>
      <c r="G94" s="276" t="s">
        <v>78</v>
      </c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277"/>
      <c r="AY94" s="277"/>
      <c r="AZ94" s="277"/>
      <c r="BA94" s="277"/>
      <c r="BB94" s="277"/>
      <c r="BC94" s="277"/>
      <c r="BD94" s="277"/>
      <c r="BE94" s="277"/>
      <c r="BF94" s="277"/>
      <c r="BG94" s="277"/>
      <c r="BH94" s="277"/>
      <c r="BI94" s="277"/>
      <c r="BJ94" s="277"/>
      <c r="BK94" s="277"/>
      <c r="BL94" s="277"/>
      <c r="BM94" s="277"/>
      <c r="BN94" s="277"/>
      <c r="BO94" s="277"/>
      <c r="BP94" s="277"/>
      <c r="BQ94" s="278"/>
      <c r="BR94" s="14"/>
      <c r="BS94" s="14"/>
      <c r="BT94" s="14"/>
      <c r="BU94" s="14"/>
      <c r="BV94" s="14"/>
      <c r="BW94" s="14"/>
    </row>
    <row r="95" spans="1:75" x14ac:dyDescent="0.25">
      <c r="A95" s="14"/>
      <c r="B95" s="14"/>
      <c r="C95" s="14"/>
      <c r="D95" s="279"/>
      <c r="E95" s="280"/>
      <c r="F95" s="281"/>
      <c r="G95" s="282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  <c r="BQ95" s="284"/>
      <c r="BR95" s="14"/>
      <c r="BS95" s="14"/>
      <c r="BT95" s="14"/>
      <c r="BU95" s="14"/>
      <c r="BV95" s="14"/>
      <c r="BW95" s="14"/>
    </row>
    <row r="96" spans="1:75" x14ac:dyDescent="0.25">
      <c r="A96" s="14"/>
      <c r="B96" s="14"/>
      <c r="C96" s="14"/>
      <c r="D96" s="273" t="s">
        <v>79</v>
      </c>
      <c r="E96" s="274"/>
      <c r="F96" s="275"/>
      <c r="G96" s="276" t="s">
        <v>80</v>
      </c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  <c r="AW96" s="277"/>
      <c r="AX96" s="277"/>
      <c r="AY96" s="277"/>
      <c r="AZ96" s="277"/>
      <c r="BA96" s="277"/>
      <c r="BB96" s="277"/>
      <c r="BC96" s="277"/>
      <c r="BD96" s="277"/>
      <c r="BE96" s="277"/>
      <c r="BF96" s="277"/>
      <c r="BG96" s="277"/>
      <c r="BH96" s="277"/>
      <c r="BI96" s="277"/>
      <c r="BJ96" s="277"/>
      <c r="BK96" s="277"/>
      <c r="BL96" s="277"/>
      <c r="BM96" s="277"/>
      <c r="BN96" s="277"/>
      <c r="BO96" s="277"/>
      <c r="BP96" s="277"/>
      <c r="BQ96" s="278"/>
      <c r="BR96" s="14"/>
      <c r="BS96" s="14"/>
      <c r="BT96" s="14"/>
      <c r="BU96" s="14"/>
      <c r="BV96" s="14"/>
      <c r="BW96" s="14"/>
    </row>
    <row r="97" spans="1:75" x14ac:dyDescent="0.25">
      <c r="A97" s="14"/>
      <c r="B97" s="14"/>
      <c r="C97" s="14"/>
      <c r="D97" s="279"/>
      <c r="E97" s="280"/>
      <c r="F97" s="281"/>
      <c r="G97" s="282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  <c r="BD97" s="283"/>
      <c r="BE97" s="283"/>
      <c r="BF97" s="283"/>
      <c r="BG97" s="283"/>
      <c r="BH97" s="283"/>
      <c r="BI97" s="283"/>
      <c r="BJ97" s="283"/>
      <c r="BK97" s="283"/>
      <c r="BL97" s="283"/>
      <c r="BM97" s="283"/>
      <c r="BN97" s="283"/>
      <c r="BO97" s="283"/>
      <c r="BP97" s="283"/>
      <c r="BQ97" s="284"/>
      <c r="BR97" s="14"/>
      <c r="BS97" s="14"/>
      <c r="BT97" s="14"/>
      <c r="BU97" s="14"/>
      <c r="BV97" s="14"/>
      <c r="BW97" s="14"/>
    </row>
    <row r="98" spans="1:75" x14ac:dyDescent="0.25">
      <c r="A98" s="14"/>
      <c r="B98" s="14"/>
      <c r="C98" s="14"/>
      <c r="D98" s="273" t="s">
        <v>81</v>
      </c>
      <c r="E98" s="274"/>
      <c r="F98" s="275"/>
      <c r="G98" s="276" t="s">
        <v>82</v>
      </c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/>
      <c r="AX98" s="277"/>
      <c r="AY98" s="277"/>
      <c r="AZ98" s="277"/>
      <c r="BA98" s="277"/>
      <c r="BB98" s="277"/>
      <c r="BC98" s="277"/>
      <c r="BD98" s="277"/>
      <c r="BE98" s="277"/>
      <c r="BF98" s="277"/>
      <c r="BG98" s="277"/>
      <c r="BH98" s="277"/>
      <c r="BI98" s="277"/>
      <c r="BJ98" s="277"/>
      <c r="BK98" s="277"/>
      <c r="BL98" s="277"/>
      <c r="BM98" s="277"/>
      <c r="BN98" s="277"/>
      <c r="BO98" s="277"/>
      <c r="BP98" s="277"/>
      <c r="BQ98" s="278"/>
      <c r="BR98" s="14"/>
      <c r="BS98" s="14"/>
      <c r="BT98" s="14"/>
      <c r="BU98" s="14"/>
      <c r="BV98" s="14"/>
      <c r="BW98" s="14"/>
    </row>
    <row r="99" spans="1:75" x14ac:dyDescent="0.25">
      <c r="A99" s="14"/>
      <c r="B99" s="14"/>
      <c r="C99" s="14"/>
      <c r="D99" s="279"/>
      <c r="E99" s="280"/>
      <c r="F99" s="281"/>
      <c r="G99" s="282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3"/>
      <c r="BN99" s="283"/>
      <c r="BO99" s="283"/>
      <c r="BP99" s="283"/>
      <c r="BQ99" s="284"/>
      <c r="BR99" s="14"/>
      <c r="BS99" s="14"/>
      <c r="BT99" s="14"/>
      <c r="BU99" s="14"/>
      <c r="BV99" s="14"/>
      <c r="BW99" s="14"/>
    </row>
    <row r="100" spans="1:75" x14ac:dyDescent="0.25">
      <c r="A100" s="14"/>
      <c r="B100" s="14"/>
      <c r="C100" s="14"/>
      <c r="D100" s="273" t="s">
        <v>83</v>
      </c>
      <c r="E100" s="274"/>
      <c r="F100" s="275"/>
      <c r="G100" s="276" t="s">
        <v>84</v>
      </c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77"/>
      <c r="BI100" s="277"/>
      <c r="BJ100" s="277"/>
      <c r="BK100" s="277"/>
      <c r="BL100" s="277"/>
      <c r="BM100" s="277"/>
      <c r="BN100" s="277"/>
      <c r="BO100" s="277"/>
      <c r="BP100" s="277"/>
      <c r="BQ100" s="278"/>
      <c r="BR100" s="14"/>
      <c r="BS100" s="14"/>
      <c r="BT100" s="14"/>
      <c r="BU100" s="14"/>
      <c r="BV100" s="14"/>
      <c r="BW100" s="14"/>
    </row>
    <row r="101" spans="1:75" x14ac:dyDescent="0.25">
      <c r="A101" s="14"/>
      <c r="B101" s="14"/>
      <c r="C101" s="14"/>
      <c r="D101" s="279"/>
      <c r="E101" s="280"/>
      <c r="F101" s="281"/>
      <c r="G101" s="282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  <c r="AN101" s="283"/>
      <c r="AO101" s="283"/>
      <c r="AP101" s="283"/>
      <c r="AQ101" s="283"/>
      <c r="AR101" s="283"/>
      <c r="AS101" s="283"/>
      <c r="AT101" s="283"/>
      <c r="AU101" s="283"/>
      <c r="AV101" s="283"/>
      <c r="AW101" s="283"/>
      <c r="AX101" s="283"/>
      <c r="AY101" s="283"/>
      <c r="AZ101" s="283"/>
      <c r="BA101" s="283"/>
      <c r="BB101" s="283"/>
      <c r="BC101" s="283"/>
      <c r="BD101" s="283"/>
      <c r="BE101" s="283"/>
      <c r="BF101" s="283"/>
      <c r="BG101" s="283"/>
      <c r="BH101" s="283"/>
      <c r="BI101" s="283"/>
      <c r="BJ101" s="283"/>
      <c r="BK101" s="283"/>
      <c r="BL101" s="283"/>
      <c r="BM101" s="283"/>
      <c r="BN101" s="283"/>
      <c r="BO101" s="283"/>
      <c r="BP101" s="283"/>
      <c r="BQ101" s="284"/>
      <c r="BR101" s="14"/>
      <c r="BS101" s="14"/>
      <c r="BT101" s="14"/>
      <c r="BU101" s="14"/>
      <c r="BV101" s="14"/>
      <c r="BW101" s="14"/>
    </row>
    <row r="102" spans="1:75" x14ac:dyDescent="0.25">
      <c r="A102" s="14"/>
      <c r="B102" s="14"/>
      <c r="C102" s="14"/>
      <c r="D102" s="273" t="s">
        <v>85</v>
      </c>
      <c r="E102" s="274"/>
      <c r="F102" s="275"/>
      <c r="G102" s="276" t="s">
        <v>86</v>
      </c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77"/>
      <c r="BI102" s="277"/>
      <c r="BJ102" s="277"/>
      <c r="BK102" s="277"/>
      <c r="BL102" s="277"/>
      <c r="BM102" s="277"/>
      <c r="BN102" s="277"/>
      <c r="BO102" s="277"/>
      <c r="BP102" s="277"/>
      <c r="BQ102" s="278"/>
      <c r="BR102" s="14"/>
      <c r="BS102" s="14"/>
      <c r="BT102" s="14"/>
      <c r="BU102" s="14"/>
      <c r="BV102" s="14"/>
      <c r="BW102" s="14"/>
    </row>
    <row r="103" spans="1:75" x14ac:dyDescent="0.25">
      <c r="A103" s="14"/>
      <c r="B103" s="14"/>
      <c r="C103" s="14"/>
      <c r="D103" s="279"/>
      <c r="E103" s="280"/>
      <c r="F103" s="281"/>
      <c r="G103" s="282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283"/>
      <c r="AT103" s="283"/>
      <c r="AU103" s="283"/>
      <c r="AV103" s="283"/>
      <c r="AW103" s="283"/>
      <c r="AX103" s="283"/>
      <c r="AY103" s="283"/>
      <c r="AZ103" s="283"/>
      <c r="BA103" s="283"/>
      <c r="BB103" s="283"/>
      <c r="BC103" s="283"/>
      <c r="BD103" s="283"/>
      <c r="BE103" s="283"/>
      <c r="BF103" s="283"/>
      <c r="BG103" s="283"/>
      <c r="BH103" s="283"/>
      <c r="BI103" s="283"/>
      <c r="BJ103" s="283"/>
      <c r="BK103" s="283"/>
      <c r="BL103" s="283"/>
      <c r="BM103" s="283"/>
      <c r="BN103" s="283"/>
      <c r="BO103" s="283"/>
      <c r="BP103" s="283"/>
      <c r="BQ103" s="284"/>
      <c r="BR103" s="14"/>
      <c r="BS103" s="14"/>
      <c r="BT103" s="14"/>
      <c r="BU103" s="14"/>
      <c r="BV103" s="14"/>
      <c r="BW103" s="14"/>
    </row>
    <row r="104" spans="1:75" x14ac:dyDescent="0.25">
      <c r="A104" s="14"/>
      <c r="B104" s="14"/>
      <c r="C104" s="14"/>
      <c r="D104" s="273" t="s">
        <v>87</v>
      </c>
      <c r="E104" s="274"/>
      <c r="F104" s="275"/>
      <c r="G104" s="276" t="s">
        <v>88</v>
      </c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77"/>
      <c r="BI104" s="277"/>
      <c r="BJ104" s="277"/>
      <c r="BK104" s="277"/>
      <c r="BL104" s="277"/>
      <c r="BM104" s="277"/>
      <c r="BN104" s="277"/>
      <c r="BO104" s="277"/>
      <c r="BP104" s="277"/>
      <c r="BQ104" s="278"/>
      <c r="BR104" s="14"/>
      <c r="BS104" s="14"/>
      <c r="BT104" s="14"/>
      <c r="BU104" s="14"/>
      <c r="BV104" s="14"/>
      <c r="BW104" s="14"/>
    </row>
    <row r="105" spans="1:75" x14ac:dyDescent="0.25">
      <c r="A105" s="14"/>
      <c r="B105" s="14"/>
      <c r="C105" s="14"/>
      <c r="D105" s="279"/>
      <c r="E105" s="280"/>
      <c r="F105" s="281"/>
      <c r="G105" s="282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  <c r="AN105" s="283"/>
      <c r="AO105" s="283"/>
      <c r="AP105" s="283"/>
      <c r="AQ105" s="283"/>
      <c r="AR105" s="283"/>
      <c r="AS105" s="283"/>
      <c r="AT105" s="283"/>
      <c r="AU105" s="283"/>
      <c r="AV105" s="283"/>
      <c r="AW105" s="283"/>
      <c r="AX105" s="283"/>
      <c r="AY105" s="283"/>
      <c r="AZ105" s="283"/>
      <c r="BA105" s="283"/>
      <c r="BB105" s="283"/>
      <c r="BC105" s="283"/>
      <c r="BD105" s="283"/>
      <c r="BE105" s="283"/>
      <c r="BF105" s="283"/>
      <c r="BG105" s="283"/>
      <c r="BH105" s="283"/>
      <c r="BI105" s="283"/>
      <c r="BJ105" s="283"/>
      <c r="BK105" s="283"/>
      <c r="BL105" s="283"/>
      <c r="BM105" s="283"/>
      <c r="BN105" s="283"/>
      <c r="BO105" s="283"/>
      <c r="BP105" s="283"/>
      <c r="BQ105" s="284"/>
      <c r="BR105" s="14"/>
      <c r="BS105" s="14"/>
      <c r="BT105" s="14"/>
      <c r="BU105" s="14"/>
      <c r="BV105" s="14"/>
      <c r="BW105" s="14"/>
    </row>
    <row r="106" spans="1:75" x14ac:dyDescent="0.25">
      <c r="A106" s="14"/>
      <c r="B106" s="14"/>
      <c r="C106" s="14"/>
      <c r="D106" s="273" t="s">
        <v>89</v>
      </c>
      <c r="E106" s="274"/>
      <c r="F106" s="275"/>
      <c r="G106" s="276" t="s">
        <v>90</v>
      </c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77"/>
      <c r="BI106" s="277"/>
      <c r="BJ106" s="277"/>
      <c r="BK106" s="277"/>
      <c r="BL106" s="277"/>
      <c r="BM106" s="277"/>
      <c r="BN106" s="277"/>
      <c r="BO106" s="277"/>
      <c r="BP106" s="277"/>
      <c r="BQ106" s="278"/>
      <c r="BR106" s="14"/>
      <c r="BS106" s="14"/>
      <c r="BT106" s="14"/>
      <c r="BU106" s="14"/>
      <c r="BV106" s="14"/>
      <c r="BW106" s="14"/>
    </row>
    <row r="107" spans="1:75" x14ac:dyDescent="0.25">
      <c r="A107" s="14"/>
      <c r="B107" s="14"/>
      <c r="C107" s="14"/>
      <c r="D107" s="279"/>
      <c r="E107" s="280"/>
      <c r="F107" s="281"/>
      <c r="G107" s="282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  <c r="AN107" s="283"/>
      <c r="AO107" s="283"/>
      <c r="AP107" s="283"/>
      <c r="AQ107" s="283"/>
      <c r="AR107" s="283"/>
      <c r="AS107" s="283"/>
      <c r="AT107" s="283"/>
      <c r="AU107" s="283"/>
      <c r="AV107" s="283"/>
      <c r="AW107" s="283"/>
      <c r="AX107" s="283"/>
      <c r="AY107" s="283"/>
      <c r="AZ107" s="283"/>
      <c r="BA107" s="283"/>
      <c r="BB107" s="283"/>
      <c r="BC107" s="283"/>
      <c r="BD107" s="283"/>
      <c r="BE107" s="283"/>
      <c r="BF107" s="283"/>
      <c r="BG107" s="283"/>
      <c r="BH107" s="283"/>
      <c r="BI107" s="283"/>
      <c r="BJ107" s="283"/>
      <c r="BK107" s="283"/>
      <c r="BL107" s="283"/>
      <c r="BM107" s="283"/>
      <c r="BN107" s="283"/>
      <c r="BO107" s="283"/>
      <c r="BP107" s="283"/>
      <c r="BQ107" s="284"/>
      <c r="BR107" s="14"/>
      <c r="BS107" s="14"/>
      <c r="BT107" s="14"/>
      <c r="BU107" s="14"/>
      <c r="BV107" s="14"/>
      <c r="BW107" s="14"/>
    </row>
    <row r="108" spans="1:75" x14ac:dyDescent="0.25">
      <c r="A108" s="14"/>
      <c r="B108" s="14"/>
      <c r="C108" s="14"/>
      <c r="D108" s="273" t="s">
        <v>91</v>
      </c>
      <c r="E108" s="274"/>
      <c r="F108" s="275"/>
      <c r="G108" s="276" t="s">
        <v>92</v>
      </c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77"/>
      <c r="BI108" s="277"/>
      <c r="BJ108" s="277"/>
      <c r="BK108" s="277"/>
      <c r="BL108" s="277"/>
      <c r="BM108" s="277"/>
      <c r="BN108" s="277"/>
      <c r="BO108" s="277"/>
      <c r="BP108" s="277"/>
      <c r="BQ108" s="278"/>
      <c r="BR108" s="14"/>
      <c r="BS108" s="14"/>
      <c r="BT108" s="14"/>
      <c r="BU108" s="14"/>
      <c r="BV108" s="14"/>
      <c r="BW108" s="14"/>
    </row>
    <row r="109" spans="1:75" x14ac:dyDescent="0.25">
      <c r="A109" s="14"/>
      <c r="B109" s="14"/>
      <c r="C109" s="14"/>
      <c r="D109" s="279"/>
      <c r="E109" s="280"/>
      <c r="F109" s="281"/>
      <c r="G109" s="282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  <c r="AN109" s="283"/>
      <c r="AO109" s="283"/>
      <c r="AP109" s="283"/>
      <c r="AQ109" s="283"/>
      <c r="AR109" s="283"/>
      <c r="AS109" s="283"/>
      <c r="AT109" s="283"/>
      <c r="AU109" s="283"/>
      <c r="AV109" s="283"/>
      <c r="AW109" s="283"/>
      <c r="AX109" s="283"/>
      <c r="AY109" s="283"/>
      <c r="AZ109" s="283"/>
      <c r="BA109" s="283"/>
      <c r="BB109" s="283"/>
      <c r="BC109" s="283"/>
      <c r="BD109" s="283"/>
      <c r="BE109" s="283"/>
      <c r="BF109" s="283"/>
      <c r="BG109" s="283"/>
      <c r="BH109" s="283"/>
      <c r="BI109" s="283"/>
      <c r="BJ109" s="283"/>
      <c r="BK109" s="283"/>
      <c r="BL109" s="283"/>
      <c r="BM109" s="283"/>
      <c r="BN109" s="283"/>
      <c r="BO109" s="283"/>
      <c r="BP109" s="283"/>
      <c r="BQ109" s="284"/>
      <c r="BR109" s="14"/>
      <c r="BS109" s="14"/>
      <c r="BT109" s="14"/>
      <c r="BU109" s="14"/>
      <c r="BV109" s="14"/>
      <c r="BW109" s="14"/>
    </row>
    <row r="110" spans="1:75" x14ac:dyDescent="0.25">
      <c r="A110" s="14"/>
      <c r="B110" s="14"/>
      <c r="C110" s="14"/>
      <c r="D110" s="273" t="s">
        <v>93</v>
      </c>
      <c r="E110" s="274"/>
      <c r="F110" s="275"/>
      <c r="G110" s="276" t="s">
        <v>94</v>
      </c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  <c r="BD110" s="277"/>
      <c r="BE110" s="277"/>
      <c r="BF110" s="277"/>
      <c r="BG110" s="277"/>
      <c r="BH110" s="277"/>
      <c r="BI110" s="277"/>
      <c r="BJ110" s="277"/>
      <c r="BK110" s="277"/>
      <c r="BL110" s="277"/>
      <c r="BM110" s="277"/>
      <c r="BN110" s="277"/>
      <c r="BO110" s="277"/>
      <c r="BP110" s="277"/>
      <c r="BQ110" s="278"/>
      <c r="BR110" s="14"/>
      <c r="BS110" s="14"/>
      <c r="BT110" s="14"/>
      <c r="BU110" s="14"/>
      <c r="BV110" s="14"/>
      <c r="BW110" s="14"/>
    </row>
    <row r="111" spans="1:75" x14ac:dyDescent="0.25">
      <c r="A111" s="14"/>
      <c r="B111" s="14"/>
      <c r="C111" s="14"/>
      <c r="D111" s="279"/>
      <c r="E111" s="280"/>
      <c r="F111" s="281"/>
      <c r="G111" s="282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  <c r="AK111" s="283"/>
      <c r="AL111" s="283"/>
      <c r="AM111" s="283"/>
      <c r="AN111" s="283"/>
      <c r="AO111" s="283"/>
      <c r="AP111" s="283"/>
      <c r="AQ111" s="283"/>
      <c r="AR111" s="283"/>
      <c r="AS111" s="283"/>
      <c r="AT111" s="283"/>
      <c r="AU111" s="283"/>
      <c r="AV111" s="283"/>
      <c r="AW111" s="283"/>
      <c r="AX111" s="283"/>
      <c r="AY111" s="283"/>
      <c r="AZ111" s="283"/>
      <c r="BA111" s="283"/>
      <c r="BB111" s="283"/>
      <c r="BC111" s="283"/>
      <c r="BD111" s="283"/>
      <c r="BE111" s="283"/>
      <c r="BF111" s="283"/>
      <c r="BG111" s="283"/>
      <c r="BH111" s="283"/>
      <c r="BI111" s="283"/>
      <c r="BJ111" s="283"/>
      <c r="BK111" s="283"/>
      <c r="BL111" s="283"/>
      <c r="BM111" s="283"/>
      <c r="BN111" s="283"/>
      <c r="BO111" s="283"/>
      <c r="BP111" s="283"/>
      <c r="BQ111" s="284"/>
      <c r="BR111" s="14"/>
      <c r="BS111" s="14"/>
      <c r="BT111" s="14"/>
      <c r="BU111" s="14"/>
      <c r="BV111" s="14"/>
      <c r="BW111" s="14"/>
    </row>
    <row r="112" spans="1:75" x14ac:dyDescent="0.25">
      <c r="A112" s="14"/>
      <c r="B112" s="14"/>
      <c r="C112" s="14"/>
      <c r="D112" s="273" t="s">
        <v>95</v>
      </c>
      <c r="E112" s="274"/>
      <c r="F112" s="275"/>
      <c r="G112" s="276" t="s">
        <v>96</v>
      </c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277"/>
      <c r="AY112" s="277"/>
      <c r="AZ112" s="277"/>
      <c r="BA112" s="277"/>
      <c r="BB112" s="277"/>
      <c r="BC112" s="277"/>
      <c r="BD112" s="277"/>
      <c r="BE112" s="277"/>
      <c r="BF112" s="277"/>
      <c r="BG112" s="277"/>
      <c r="BH112" s="277"/>
      <c r="BI112" s="277"/>
      <c r="BJ112" s="277"/>
      <c r="BK112" s="277"/>
      <c r="BL112" s="277"/>
      <c r="BM112" s="277"/>
      <c r="BN112" s="277"/>
      <c r="BO112" s="277"/>
      <c r="BP112" s="277"/>
      <c r="BQ112" s="278"/>
      <c r="BR112" s="14"/>
      <c r="BS112" s="14"/>
      <c r="BT112" s="14"/>
      <c r="BU112" s="14"/>
      <c r="BV112" s="14"/>
      <c r="BW112" s="14"/>
    </row>
    <row r="113" spans="1:75" x14ac:dyDescent="0.25">
      <c r="A113" s="14"/>
      <c r="B113" s="14"/>
      <c r="C113" s="14"/>
      <c r="D113" s="279"/>
      <c r="E113" s="280"/>
      <c r="F113" s="281"/>
      <c r="G113" s="282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  <c r="AN113" s="283"/>
      <c r="AO113" s="283"/>
      <c r="AP113" s="283"/>
      <c r="AQ113" s="283"/>
      <c r="AR113" s="283"/>
      <c r="AS113" s="283"/>
      <c r="AT113" s="283"/>
      <c r="AU113" s="283"/>
      <c r="AV113" s="283"/>
      <c r="AW113" s="283"/>
      <c r="AX113" s="283"/>
      <c r="AY113" s="283"/>
      <c r="AZ113" s="283"/>
      <c r="BA113" s="283"/>
      <c r="BB113" s="283"/>
      <c r="BC113" s="283"/>
      <c r="BD113" s="283"/>
      <c r="BE113" s="283"/>
      <c r="BF113" s="283"/>
      <c r="BG113" s="283"/>
      <c r="BH113" s="283"/>
      <c r="BI113" s="283"/>
      <c r="BJ113" s="283"/>
      <c r="BK113" s="283"/>
      <c r="BL113" s="283"/>
      <c r="BM113" s="283"/>
      <c r="BN113" s="283"/>
      <c r="BO113" s="283"/>
      <c r="BP113" s="283"/>
      <c r="BQ113" s="284"/>
      <c r="BR113" s="14"/>
      <c r="BS113" s="14"/>
      <c r="BT113" s="14"/>
      <c r="BU113" s="14"/>
      <c r="BV113" s="14"/>
      <c r="BW113" s="14"/>
    </row>
    <row r="114" spans="1:75" x14ac:dyDescent="0.25">
      <c r="A114" s="14"/>
      <c r="B114" s="14"/>
      <c r="C114" s="14"/>
      <c r="D114" s="273" t="s">
        <v>97</v>
      </c>
      <c r="E114" s="274"/>
      <c r="F114" s="275"/>
      <c r="G114" s="276" t="s">
        <v>98</v>
      </c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277"/>
      <c r="AR114" s="277"/>
      <c r="AS114" s="277"/>
      <c r="AT114" s="277"/>
      <c r="AU114" s="277"/>
      <c r="AV114" s="277"/>
      <c r="AW114" s="277"/>
      <c r="AX114" s="277"/>
      <c r="AY114" s="277"/>
      <c r="AZ114" s="277"/>
      <c r="BA114" s="277"/>
      <c r="BB114" s="277"/>
      <c r="BC114" s="277"/>
      <c r="BD114" s="277"/>
      <c r="BE114" s="277"/>
      <c r="BF114" s="277"/>
      <c r="BG114" s="277"/>
      <c r="BH114" s="277"/>
      <c r="BI114" s="277"/>
      <c r="BJ114" s="277"/>
      <c r="BK114" s="277"/>
      <c r="BL114" s="277"/>
      <c r="BM114" s="277"/>
      <c r="BN114" s="277"/>
      <c r="BO114" s="277"/>
      <c r="BP114" s="277"/>
      <c r="BQ114" s="278"/>
      <c r="BR114" s="14"/>
      <c r="BS114" s="14"/>
      <c r="BT114" s="14"/>
      <c r="BU114" s="14"/>
      <c r="BV114" s="14"/>
      <c r="BW114" s="14"/>
    </row>
    <row r="115" spans="1:75" x14ac:dyDescent="0.25">
      <c r="A115" s="14"/>
      <c r="B115" s="14"/>
      <c r="C115" s="14"/>
      <c r="D115" s="279"/>
      <c r="E115" s="280"/>
      <c r="F115" s="281"/>
      <c r="G115" s="282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  <c r="AN115" s="283"/>
      <c r="AO115" s="283"/>
      <c r="AP115" s="283"/>
      <c r="AQ115" s="283"/>
      <c r="AR115" s="283"/>
      <c r="AS115" s="283"/>
      <c r="AT115" s="283"/>
      <c r="AU115" s="283"/>
      <c r="AV115" s="283"/>
      <c r="AW115" s="283"/>
      <c r="AX115" s="283"/>
      <c r="AY115" s="283"/>
      <c r="AZ115" s="283"/>
      <c r="BA115" s="283"/>
      <c r="BB115" s="283"/>
      <c r="BC115" s="283"/>
      <c r="BD115" s="283"/>
      <c r="BE115" s="283"/>
      <c r="BF115" s="283"/>
      <c r="BG115" s="283"/>
      <c r="BH115" s="283"/>
      <c r="BI115" s="283"/>
      <c r="BJ115" s="283"/>
      <c r="BK115" s="283"/>
      <c r="BL115" s="283"/>
      <c r="BM115" s="283"/>
      <c r="BN115" s="283"/>
      <c r="BO115" s="283"/>
      <c r="BP115" s="283"/>
      <c r="BQ115" s="284"/>
      <c r="BR115" s="14"/>
      <c r="BS115" s="14"/>
      <c r="BT115" s="14"/>
      <c r="BU115" s="14"/>
      <c r="BV115" s="14"/>
      <c r="BW115" s="14"/>
    </row>
    <row r="116" spans="1:75" x14ac:dyDescent="0.25">
      <c r="A116" s="14"/>
      <c r="B116" s="14"/>
      <c r="C116" s="14"/>
      <c r="D116" s="273" t="s">
        <v>99</v>
      </c>
      <c r="E116" s="274"/>
      <c r="F116" s="275"/>
      <c r="G116" s="276" t="s">
        <v>100</v>
      </c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277"/>
      <c r="AR116" s="277"/>
      <c r="AS116" s="277"/>
      <c r="AT116" s="277"/>
      <c r="AU116" s="277"/>
      <c r="AV116" s="277"/>
      <c r="AW116" s="277"/>
      <c r="AX116" s="277"/>
      <c r="AY116" s="277"/>
      <c r="AZ116" s="277"/>
      <c r="BA116" s="277"/>
      <c r="BB116" s="277"/>
      <c r="BC116" s="277"/>
      <c r="BD116" s="277"/>
      <c r="BE116" s="277"/>
      <c r="BF116" s="277"/>
      <c r="BG116" s="277"/>
      <c r="BH116" s="277"/>
      <c r="BI116" s="277"/>
      <c r="BJ116" s="277"/>
      <c r="BK116" s="277"/>
      <c r="BL116" s="277"/>
      <c r="BM116" s="277"/>
      <c r="BN116" s="277"/>
      <c r="BO116" s="277"/>
      <c r="BP116" s="277"/>
      <c r="BQ116" s="278"/>
      <c r="BR116" s="14"/>
      <c r="BS116" s="14"/>
      <c r="BT116" s="14"/>
      <c r="BU116" s="14"/>
      <c r="BV116" s="14"/>
      <c r="BW116" s="14"/>
    </row>
    <row r="117" spans="1:75" x14ac:dyDescent="0.25">
      <c r="A117" s="14"/>
      <c r="B117" s="14"/>
      <c r="C117" s="14"/>
      <c r="D117" s="279"/>
      <c r="E117" s="280"/>
      <c r="F117" s="281"/>
      <c r="G117" s="282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83"/>
      <c r="AK117" s="283"/>
      <c r="AL117" s="283"/>
      <c r="AM117" s="283"/>
      <c r="AN117" s="283"/>
      <c r="AO117" s="283"/>
      <c r="AP117" s="283"/>
      <c r="AQ117" s="283"/>
      <c r="AR117" s="283"/>
      <c r="AS117" s="283"/>
      <c r="AT117" s="283"/>
      <c r="AU117" s="283"/>
      <c r="AV117" s="283"/>
      <c r="AW117" s="283"/>
      <c r="AX117" s="283"/>
      <c r="AY117" s="283"/>
      <c r="AZ117" s="283"/>
      <c r="BA117" s="283"/>
      <c r="BB117" s="283"/>
      <c r="BC117" s="283"/>
      <c r="BD117" s="283"/>
      <c r="BE117" s="283"/>
      <c r="BF117" s="283"/>
      <c r="BG117" s="283"/>
      <c r="BH117" s="283"/>
      <c r="BI117" s="283"/>
      <c r="BJ117" s="283"/>
      <c r="BK117" s="283"/>
      <c r="BL117" s="283"/>
      <c r="BM117" s="283"/>
      <c r="BN117" s="283"/>
      <c r="BO117" s="283"/>
      <c r="BP117" s="283"/>
      <c r="BQ117" s="284"/>
      <c r="BR117" s="14"/>
      <c r="BS117" s="14"/>
      <c r="BT117" s="14"/>
      <c r="BU117" s="14"/>
      <c r="BV117" s="14"/>
      <c r="BW117" s="14"/>
    </row>
    <row r="118" spans="1:75" x14ac:dyDescent="0.25">
      <c r="A118" s="14"/>
      <c r="B118" s="14"/>
      <c r="C118" s="14"/>
      <c r="D118" s="273" t="s">
        <v>101</v>
      </c>
      <c r="E118" s="274"/>
      <c r="F118" s="275"/>
      <c r="G118" s="276" t="s">
        <v>102</v>
      </c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7"/>
      <c r="AR118" s="277"/>
      <c r="AS118" s="277"/>
      <c r="AT118" s="277"/>
      <c r="AU118" s="277"/>
      <c r="AV118" s="277"/>
      <c r="AW118" s="277"/>
      <c r="AX118" s="277"/>
      <c r="AY118" s="277"/>
      <c r="AZ118" s="277"/>
      <c r="BA118" s="277"/>
      <c r="BB118" s="277"/>
      <c r="BC118" s="277"/>
      <c r="BD118" s="277"/>
      <c r="BE118" s="277"/>
      <c r="BF118" s="277"/>
      <c r="BG118" s="277"/>
      <c r="BH118" s="277"/>
      <c r="BI118" s="277"/>
      <c r="BJ118" s="277"/>
      <c r="BK118" s="277"/>
      <c r="BL118" s="277"/>
      <c r="BM118" s="277"/>
      <c r="BN118" s="277"/>
      <c r="BO118" s="277"/>
      <c r="BP118" s="277"/>
      <c r="BQ118" s="278"/>
      <c r="BR118" s="14"/>
      <c r="BS118" s="14"/>
      <c r="BT118" s="14"/>
      <c r="BU118" s="14"/>
      <c r="BV118" s="14"/>
      <c r="BW118" s="14"/>
    </row>
    <row r="119" spans="1:75" x14ac:dyDescent="0.25">
      <c r="A119" s="14"/>
      <c r="B119" s="14"/>
      <c r="C119" s="14"/>
      <c r="D119" s="279"/>
      <c r="E119" s="280"/>
      <c r="F119" s="281"/>
      <c r="G119" s="282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83"/>
      <c r="AK119" s="283"/>
      <c r="AL119" s="283"/>
      <c r="AM119" s="283"/>
      <c r="AN119" s="283"/>
      <c r="AO119" s="283"/>
      <c r="AP119" s="283"/>
      <c r="AQ119" s="283"/>
      <c r="AR119" s="283"/>
      <c r="AS119" s="283"/>
      <c r="AT119" s="283"/>
      <c r="AU119" s="283"/>
      <c r="AV119" s="283"/>
      <c r="AW119" s="283"/>
      <c r="AX119" s="283"/>
      <c r="AY119" s="283"/>
      <c r="AZ119" s="283"/>
      <c r="BA119" s="283"/>
      <c r="BB119" s="283"/>
      <c r="BC119" s="283"/>
      <c r="BD119" s="283"/>
      <c r="BE119" s="283"/>
      <c r="BF119" s="283"/>
      <c r="BG119" s="283"/>
      <c r="BH119" s="283"/>
      <c r="BI119" s="283"/>
      <c r="BJ119" s="283"/>
      <c r="BK119" s="283"/>
      <c r="BL119" s="283"/>
      <c r="BM119" s="283"/>
      <c r="BN119" s="283"/>
      <c r="BO119" s="283"/>
      <c r="BP119" s="283"/>
      <c r="BQ119" s="284"/>
      <c r="BR119" s="14"/>
      <c r="BS119" s="14"/>
      <c r="BT119" s="14"/>
      <c r="BU119" s="14"/>
      <c r="BV119" s="14"/>
      <c r="BW119" s="14"/>
    </row>
    <row r="120" spans="1:75" x14ac:dyDescent="0.25">
      <c r="A120" s="14"/>
      <c r="B120" s="14"/>
      <c r="C120" s="14"/>
      <c r="D120" s="273" t="s">
        <v>103</v>
      </c>
      <c r="E120" s="274"/>
      <c r="F120" s="275"/>
      <c r="G120" s="276" t="s">
        <v>102</v>
      </c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  <c r="AI120" s="277"/>
      <c r="AJ120" s="277"/>
      <c r="AK120" s="277"/>
      <c r="AL120" s="277"/>
      <c r="AM120" s="277"/>
      <c r="AN120" s="277"/>
      <c r="AO120" s="277"/>
      <c r="AP120" s="277"/>
      <c r="AQ120" s="277"/>
      <c r="AR120" s="277"/>
      <c r="AS120" s="277"/>
      <c r="AT120" s="277"/>
      <c r="AU120" s="277"/>
      <c r="AV120" s="277"/>
      <c r="AW120" s="277"/>
      <c r="AX120" s="277"/>
      <c r="AY120" s="277"/>
      <c r="AZ120" s="277"/>
      <c r="BA120" s="277"/>
      <c r="BB120" s="277"/>
      <c r="BC120" s="277"/>
      <c r="BD120" s="277"/>
      <c r="BE120" s="277"/>
      <c r="BF120" s="277"/>
      <c r="BG120" s="277"/>
      <c r="BH120" s="277"/>
      <c r="BI120" s="277"/>
      <c r="BJ120" s="277"/>
      <c r="BK120" s="277"/>
      <c r="BL120" s="277"/>
      <c r="BM120" s="277"/>
      <c r="BN120" s="277"/>
      <c r="BO120" s="277"/>
      <c r="BP120" s="277"/>
      <c r="BQ120" s="278"/>
      <c r="BR120" s="14"/>
      <c r="BS120" s="14"/>
      <c r="BT120" s="14"/>
      <c r="BU120" s="14"/>
      <c r="BV120" s="14"/>
      <c r="BW120" s="14"/>
    </row>
    <row r="121" spans="1:75" x14ac:dyDescent="0.25">
      <c r="A121" s="14"/>
      <c r="B121" s="14"/>
      <c r="C121" s="14"/>
      <c r="D121" s="279"/>
      <c r="E121" s="280"/>
      <c r="F121" s="281"/>
      <c r="G121" s="282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83"/>
      <c r="AH121" s="283"/>
      <c r="AI121" s="283"/>
      <c r="AJ121" s="283"/>
      <c r="AK121" s="283"/>
      <c r="AL121" s="283"/>
      <c r="AM121" s="283"/>
      <c r="AN121" s="283"/>
      <c r="AO121" s="283"/>
      <c r="AP121" s="283"/>
      <c r="AQ121" s="283"/>
      <c r="AR121" s="283"/>
      <c r="AS121" s="283"/>
      <c r="AT121" s="283"/>
      <c r="AU121" s="283"/>
      <c r="AV121" s="283"/>
      <c r="AW121" s="283"/>
      <c r="AX121" s="283"/>
      <c r="AY121" s="283"/>
      <c r="AZ121" s="283"/>
      <c r="BA121" s="283"/>
      <c r="BB121" s="283"/>
      <c r="BC121" s="283"/>
      <c r="BD121" s="283"/>
      <c r="BE121" s="283"/>
      <c r="BF121" s="283"/>
      <c r="BG121" s="283"/>
      <c r="BH121" s="283"/>
      <c r="BI121" s="283"/>
      <c r="BJ121" s="283"/>
      <c r="BK121" s="283"/>
      <c r="BL121" s="283"/>
      <c r="BM121" s="283"/>
      <c r="BN121" s="283"/>
      <c r="BO121" s="283"/>
      <c r="BP121" s="283"/>
      <c r="BQ121" s="284"/>
      <c r="BR121" s="14"/>
      <c r="BS121" s="14"/>
      <c r="BT121" s="14"/>
      <c r="BU121" s="14"/>
      <c r="BV121" s="14"/>
      <c r="BW121" s="14"/>
    </row>
    <row r="122" spans="1:75" x14ac:dyDescent="0.25">
      <c r="A122" s="14"/>
      <c r="B122" s="14"/>
      <c r="C122" s="14"/>
      <c r="D122" s="273" t="s">
        <v>104</v>
      </c>
      <c r="E122" s="274"/>
      <c r="F122" s="275"/>
      <c r="G122" s="276" t="s">
        <v>102</v>
      </c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  <c r="AI122" s="277"/>
      <c r="AJ122" s="277"/>
      <c r="AK122" s="277"/>
      <c r="AL122" s="277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  <c r="AW122" s="277"/>
      <c r="AX122" s="277"/>
      <c r="AY122" s="277"/>
      <c r="AZ122" s="277"/>
      <c r="BA122" s="277"/>
      <c r="BB122" s="277"/>
      <c r="BC122" s="277"/>
      <c r="BD122" s="277"/>
      <c r="BE122" s="277"/>
      <c r="BF122" s="277"/>
      <c r="BG122" s="277"/>
      <c r="BH122" s="277"/>
      <c r="BI122" s="277"/>
      <c r="BJ122" s="277"/>
      <c r="BK122" s="277"/>
      <c r="BL122" s="277"/>
      <c r="BM122" s="277"/>
      <c r="BN122" s="277"/>
      <c r="BO122" s="277"/>
      <c r="BP122" s="277"/>
      <c r="BQ122" s="278"/>
      <c r="BR122" s="14"/>
      <c r="BS122" s="14"/>
      <c r="BT122" s="14"/>
      <c r="BU122" s="14"/>
      <c r="BV122" s="14"/>
      <c r="BW122" s="14"/>
    </row>
    <row r="123" spans="1:75" x14ac:dyDescent="0.25">
      <c r="A123" s="14"/>
      <c r="B123" s="14"/>
      <c r="C123" s="14"/>
      <c r="D123" s="279"/>
      <c r="E123" s="280"/>
      <c r="F123" s="281"/>
      <c r="G123" s="282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83"/>
      <c r="AK123" s="283"/>
      <c r="AL123" s="283"/>
      <c r="AM123" s="283"/>
      <c r="AN123" s="283"/>
      <c r="AO123" s="283"/>
      <c r="AP123" s="283"/>
      <c r="AQ123" s="283"/>
      <c r="AR123" s="283"/>
      <c r="AS123" s="283"/>
      <c r="AT123" s="283"/>
      <c r="AU123" s="283"/>
      <c r="AV123" s="283"/>
      <c r="AW123" s="283"/>
      <c r="AX123" s="283"/>
      <c r="AY123" s="283"/>
      <c r="AZ123" s="283"/>
      <c r="BA123" s="283"/>
      <c r="BB123" s="283"/>
      <c r="BC123" s="283"/>
      <c r="BD123" s="283"/>
      <c r="BE123" s="283"/>
      <c r="BF123" s="283"/>
      <c r="BG123" s="283"/>
      <c r="BH123" s="283"/>
      <c r="BI123" s="283"/>
      <c r="BJ123" s="283"/>
      <c r="BK123" s="283"/>
      <c r="BL123" s="283"/>
      <c r="BM123" s="283"/>
      <c r="BN123" s="283"/>
      <c r="BO123" s="283"/>
      <c r="BP123" s="283"/>
      <c r="BQ123" s="284"/>
      <c r="BR123" s="14"/>
      <c r="BS123" s="14"/>
      <c r="BT123" s="14"/>
      <c r="BU123" s="14"/>
      <c r="BV123" s="14"/>
      <c r="BW123" s="14"/>
    </row>
    <row r="124" spans="1:75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spans="1:75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spans="1:75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spans="1:75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spans="1:75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spans="1:75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spans="1:75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</row>
  </sheetData>
  <mergeCells count="544">
    <mergeCell ref="D118:F119"/>
    <mergeCell ref="G118:BQ119"/>
    <mergeCell ref="D120:F121"/>
    <mergeCell ref="G120:BQ121"/>
    <mergeCell ref="D122:F123"/>
    <mergeCell ref="G122:BQ123"/>
    <mergeCell ref="D112:F113"/>
    <mergeCell ref="G112:BQ113"/>
    <mergeCell ref="D114:F115"/>
    <mergeCell ref="G114:BQ115"/>
    <mergeCell ref="D116:F117"/>
    <mergeCell ref="G116:BQ117"/>
    <mergeCell ref="D106:F107"/>
    <mergeCell ref="G106:BQ107"/>
    <mergeCell ref="D108:F109"/>
    <mergeCell ref="G108:BQ109"/>
    <mergeCell ref="D110:F111"/>
    <mergeCell ref="G110:BQ111"/>
    <mergeCell ref="D100:F101"/>
    <mergeCell ref="G100:BQ101"/>
    <mergeCell ref="D102:F103"/>
    <mergeCell ref="G102:BQ103"/>
    <mergeCell ref="D104:F105"/>
    <mergeCell ref="G104:BQ105"/>
    <mergeCell ref="D94:F95"/>
    <mergeCell ref="G94:BQ95"/>
    <mergeCell ref="D96:F97"/>
    <mergeCell ref="G96:BQ97"/>
    <mergeCell ref="D98:F99"/>
    <mergeCell ref="G98:BQ99"/>
    <mergeCell ref="D86:F89"/>
    <mergeCell ref="G86:BQ87"/>
    <mergeCell ref="G88:BQ89"/>
    <mergeCell ref="D91:F91"/>
    <mergeCell ref="G91:BQ91"/>
    <mergeCell ref="D92:F93"/>
    <mergeCell ref="G92:BQ93"/>
    <mergeCell ref="D78:F81"/>
    <mergeCell ref="G78:BQ79"/>
    <mergeCell ref="G80:BQ81"/>
    <mergeCell ref="D82:F85"/>
    <mergeCell ref="G82:BQ83"/>
    <mergeCell ref="G84:BQ85"/>
    <mergeCell ref="D70:F73"/>
    <mergeCell ref="G70:BQ71"/>
    <mergeCell ref="G72:BQ73"/>
    <mergeCell ref="D74:F77"/>
    <mergeCell ref="G74:BQ75"/>
    <mergeCell ref="G76:BQ77"/>
    <mergeCell ref="A61:BU61"/>
    <mergeCell ref="A62:AA63"/>
    <mergeCell ref="AB62:AZ63"/>
    <mergeCell ref="BA62:BU63"/>
    <mergeCell ref="D65:BQ65"/>
    <mergeCell ref="D66:F69"/>
    <mergeCell ref="G66:BQ67"/>
    <mergeCell ref="G68:BQ69"/>
    <mergeCell ref="A58:AA60"/>
    <mergeCell ref="AB58:AZ58"/>
    <mergeCell ref="BA58:BU58"/>
    <mergeCell ref="AB59:AN60"/>
    <mergeCell ref="AO59:AZ60"/>
    <mergeCell ref="BA59:BU60"/>
    <mergeCell ref="BA56:BF56"/>
    <mergeCell ref="BG56:BU56"/>
    <mergeCell ref="A57:F57"/>
    <mergeCell ref="G57:U57"/>
    <mergeCell ref="X57:AC57"/>
    <mergeCell ref="AD57:AJ57"/>
    <mergeCell ref="AL57:AQ57"/>
    <mergeCell ref="AR57:AX57"/>
    <mergeCell ref="BA57:BF57"/>
    <mergeCell ref="BG57:BU57"/>
    <mergeCell ref="A56:F56"/>
    <mergeCell ref="G56:U56"/>
    <mergeCell ref="X56:AC56"/>
    <mergeCell ref="AD56:AJ56"/>
    <mergeCell ref="AL56:AQ56"/>
    <mergeCell ref="AR56:AX56"/>
    <mergeCell ref="O52:BU52"/>
    <mergeCell ref="O53:BU53"/>
    <mergeCell ref="A54:U54"/>
    <mergeCell ref="BA54:BU54"/>
    <mergeCell ref="A55:U55"/>
    <mergeCell ref="X55:AC55"/>
    <mergeCell ref="AD55:AJ55"/>
    <mergeCell ref="AL55:AQ55"/>
    <mergeCell ref="AR55:AX55"/>
    <mergeCell ref="BA55:BU55"/>
    <mergeCell ref="BS47:BT47"/>
    <mergeCell ref="A48:BU48"/>
    <mergeCell ref="A49:M49"/>
    <mergeCell ref="A50:M50"/>
    <mergeCell ref="O50:BU50"/>
    <mergeCell ref="A51:M51"/>
    <mergeCell ref="O51:BU51"/>
    <mergeCell ref="AE47:AH47"/>
    <mergeCell ref="AI47:AM47"/>
    <mergeCell ref="AN47:AW47"/>
    <mergeCell ref="AX47:BB47"/>
    <mergeCell ref="BC47:BK47"/>
    <mergeCell ref="BL47:BR47"/>
    <mergeCell ref="BC46:BK46"/>
    <mergeCell ref="BL46:BR46"/>
    <mergeCell ref="BS46:BT46"/>
    <mergeCell ref="A47:E47"/>
    <mergeCell ref="F47:I47"/>
    <mergeCell ref="J47:M47"/>
    <mergeCell ref="N47:Q47"/>
    <mergeCell ref="R47:V47"/>
    <mergeCell ref="W47:Z47"/>
    <mergeCell ref="AA47:AD47"/>
    <mergeCell ref="W46:Z46"/>
    <mergeCell ref="AA46:AD46"/>
    <mergeCell ref="AE46:AH46"/>
    <mergeCell ref="AI46:AM46"/>
    <mergeCell ref="AN46:AW46"/>
    <mergeCell ref="AX46:BB46"/>
    <mergeCell ref="AN45:AW45"/>
    <mergeCell ref="AX45:BB45"/>
    <mergeCell ref="BC45:BK45"/>
    <mergeCell ref="BL45:BR45"/>
    <mergeCell ref="BS45:BT45"/>
    <mergeCell ref="A46:E46"/>
    <mergeCell ref="F46:I46"/>
    <mergeCell ref="J46:M46"/>
    <mergeCell ref="N46:Q46"/>
    <mergeCell ref="R46:V46"/>
    <mergeCell ref="BS44:BT44"/>
    <mergeCell ref="A45:E45"/>
    <mergeCell ref="F45:I45"/>
    <mergeCell ref="J45:M45"/>
    <mergeCell ref="N45:Q45"/>
    <mergeCell ref="R45:V45"/>
    <mergeCell ref="W45:Z45"/>
    <mergeCell ref="AA45:AD45"/>
    <mergeCell ref="AE45:AH45"/>
    <mergeCell ref="AI45:AM45"/>
    <mergeCell ref="AE44:AH44"/>
    <mergeCell ref="AI44:AM44"/>
    <mergeCell ref="AN44:AW44"/>
    <mergeCell ref="AX44:BB44"/>
    <mergeCell ref="BC44:BK44"/>
    <mergeCell ref="BL44:BR44"/>
    <mergeCell ref="BC43:BK43"/>
    <mergeCell ref="BL43:BR43"/>
    <mergeCell ref="BS43:BT43"/>
    <mergeCell ref="A44:E44"/>
    <mergeCell ref="F44:I44"/>
    <mergeCell ref="J44:M44"/>
    <mergeCell ref="N44:Q44"/>
    <mergeCell ref="R44:V44"/>
    <mergeCell ref="W44:Z44"/>
    <mergeCell ref="AA44:AD44"/>
    <mergeCell ref="W43:Z43"/>
    <mergeCell ref="AA43:AD43"/>
    <mergeCell ref="AE43:AH43"/>
    <mergeCell ref="AI43:AM43"/>
    <mergeCell ref="AN43:AW43"/>
    <mergeCell ref="AX43:BB43"/>
    <mergeCell ref="AN42:AW42"/>
    <mergeCell ref="AX42:BB42"/>
    <mergeCell ref="BC42:BK42"/>
    <mergeCell ref="BL42:BR42"/>
    <mergeCell ref="BS42:BT42"/>
    <mergeCell ref="A43:E43"/>
    <mergeCell ref="F43:I43"/>
    <mergeCell ref="J43:M43"/>
    <mergeCell ref="N43:Q43"/>
    <mergeCell ref="R43:V43"/>
    <mergeCell ref="BS41:BT41"/>
    <mergeCell ref="A42:E42"/>
    <mergeCell ref="F42:I42"/>
    <mergeCell ref="J42:M42"/>
    <mergeCell ref="N42:Q42"/>
    <mergeCell ref="R42:V42"/>
    <mergeCell ref="W42:Z42"/>
    <mergeCell ref="AA42:AD42"/>
    <mergeCell ref="AE42:AH42"/>
    <mergeCell ref="AI42:AM42"/>
    <mergeCell ref="AE41:AH41"/>
    <mergeCell ref="AI41:AM41"/>
    <mergeCell ref="AN41:AW41"/>
    <mergeCell ref="AX41:BB41"/>
    <mergeCell ref="BC41:BK41"/>
    <mergeCell ref="BL41:BR41"/>
    <mergeCell ref="BC40:BK40"/>
    <mergeCell ref="BL40:BR40"/>
    <mergeCell ref="BS40:BT40"/>
    <mergeCell ref="A41:E41"/>
    <mergeCell ref="F41:I41"/>
    <mergeCell ref="J41:M41"/>
    <mergeCell ref="N41:Q41"/>
    <mergeCell ref="R41:V41"/>
    <mergeCell ref="W41:Z41"/>
    <mergeCell ref="AA41:AD41"/>
    <mergeCell ref="W40:Z40"/>
    <mergeCell ref="AA40:AD40"/>
    <mergeCell ref="AE40:AH40"/>
    <mergeCell ref="AI40:AM40"/>
    <mergeCell ref="AN40:AW40"/>
    <mergeCell ref="AX40:BB40"/>
    <mergeCell ref="AN39:AW39"/>
    <mergeCell ref="AX39:BB39"/>
    <mergeCell ref="BC39:BK39"/>
    <mergeCell ref="BL39:BR39"/>
    <mergeCell ref="BS39:BT39"/>
    <mergeCell ref="A40:E40"/>
    <mergeCell ref="F40:I40"/>
    <mergeCell ref="J40:M40"/>
    <mergeCell ref="N40:Q40"/>
    <mergeCell ref="R40:V40"/>
    <mergeCell ref="BS38:BT38"/>
    <mergeCell ref="A39:E39"/>
    <mergeCell ref="F39:I39"/>
    <mergeCell ref="J39:M39"/>
    <mergeCell ref="N39:Q39"/>
    <mergeCell ref="R39:V39"/>
    <mergeCell ref="W39:Z39"/>
    <mergeCell ref="AA39:AD39"/>
    <mergeCell ref="AE39:AH39"/>
    <mergeCell ref="AI39:AM39"/>
    <mergeCell ref="AE38:AH38"/>
    <mergeCell ref="AI38:AM38"/>
    <mergeCell ref="AN38:AW38"/>
    <mergeCell ref="AX38:BB38"/>
    <mergeCell ref="BC38:BK38"/>
    <mergeCell ref="BL38:BR38"/>
    <mergeCell ref="BC37:BK37"/>
    <mergeCell ref="BL37:BR37"/>
    <mergeCell ref="BS37:BT37"/>
    <mergeCell ref="A38:E38"/>
    <mergeCell ref="F38:I38"/>
    <mergeCell ref="J38:M38"/>
    <mergeCell ref="N38:Q38"/>
    <mergeCell ref="R38:V38"/>
    <mergeCell ref="W38:Z38"/>
    <mergeCell ref="AA38:AD38"/>
    <mergeCell ref="W37:Z37"/>
    <mergeCell ref="AA37:AD37"/>
    <mergeCell ref="AE37:AH37"/>
    <mergeCell ref="AI37:AM37"/>
    <mergeCell ref="AN37:AW37"/>
    <mergeCell ref="AX37:BB37"/>
    <mergeCell ref="AN36:AW36"/>
    <mergeCell ref="AX36:BB36"/>
    <mergeCell ref="BC36:BK36"/>
    <mergeCell ref="BL36:BR36"/>
    <mergeCell ref="BS36:BT36"/>
    <mergeCell ref="A37:E37"/>
    <mergeCell ref="F37:I37"/>
    <mergeCell ref="J37:M37"/>
    <mergeCell ref="N37:Q37"/>
    <mergeCell ref="R37:V37"/>
    <mergeCell ref="BS35:BT35"/>
    <mergeCell ref="A36:E36"/>
    <mergeCell ref="F36:I36"/>
    <mergeCell ref="J36:M36"/>
    <mergeCell ref="N36:Q36"/>
    <mergeCell ref="R36:V36"/>
    <mergeCell ref="W36:Z36"/>
    <mergeCell ref="AA36:AD36"/>
    <mergeCell ref="AE36:AH36"/>
    <mergeCell ref="AI36:AM36"/>
    <mergeCell ref="AE35:AH35"/>
    <mergeCell ref="AI35:AM35"/>
    <mergeCell ref="AN35:AW35"/>
    <mergeCell ref="AX35:BB35"/>
    <mergeCell ref="BC35:BK35"/>
    <mergeCell ref="BL35:BR35"/>
    <mergeCell ref="BC34:BK34"/>
    <mergeCell ref="BL34:BR34"/>
    <mergeCell ref="BS34:BT34"/>
    <mergeCell ref="A35:E35"/>
    <mergeCell ref="F35:I35"/>
    <mergeCell ref="J35:M35"/>
    <mergeCell ref="N35:Q35"/>
    <mergeCell ref="R35:V35"/>
    <mergeCell ref="W35:Z35"/>
    <mergeCell ref="AA35:AD35"/>
    <mergeCell ref="W34:Z34"/>
    <mergeCell ref="AA34:AD34"/>
    <mergeCell ref="AE34:AH34"/>
    <mergeCell ref="AI34:AM34"/>
    <mergeCell ref="AN34:AW34"/>
    <mergeCell ref="AX34:BB34"/>
    <mergeCell ref="AN33:AW33"/>
    <mergeCell ref="AX33:BB33"/>
    <mergeCell ref="BC33:BK33"/>
    <mergeCell ref="BL33:BR33"/>
    <mergeCell ref="BS33:BT33"/>
    <mergeCell ref="A34:E34"/>
    <mergeCell ref="F34:I34"/>
    <mergeCell ref="J34:M34"/>
    <mergeCell ref="N34:Q34"/>
    <mergeCell ref="R34:V34"/>
    <mergeCell ref="BS32:BT32"/>
    <mergeCell ref="A33:E33"/>
    <mergeCell ref="F33:I33"/>
    <mergeCell ref="J33:M33"/>
    <mergeCell ref="N33:Q33"/>
    <mergeCell ref="R33:V33"/>
    <mergeCell ref="W33:Z33"/>
    <mergeCell ref="AA33:AD33"/>
    <mergeCell ref="AE33:AH33"/>
    <mergeCell ref="AI33:AM33"/>
    <mergeCell ref="AE32:AH32"/>
    <mergeCell ref="AI32:AM32"/>
    <mergeCell ref="AN32:AW32"/>
    <mergeCell ref="AX32:BB32"/>
    <mergeCell ref="BC32:BK32"/>
    <mergeCell ref="BL32:BR32"/>
    <mergeCell ref="BC31:BK31"/>
    <mergeCell ref="BL31:BR31"/>
    <mergeCell ref="BS31:BT31"/>
    <mergeCell ref="A32:E32"/>
    <mergeCell ref="F32:I32"/>
    <mergeCell ref="J32:M32"/>
    <mergeCell ref="N32:Q32"/>
    <mergeCell ref="R32:V32"/>
    <mergeCell ref="W32:Z32"/>
    <mergeCell ref="AA32:AD32"/>
    <mergeCell ref="W31:Z31"/>
    <mergeCell ref="AA31:AD31"/>
    <mergeCell ref="AE31:AH31"/>
    <mergeCell ref="AI31:AM31"/>
    <mergeCell ref="AN31:AW31"/>
    <mergeCell ref="AX31:BB31"/>
    <mergeCell ref="AN30:AW30"/>
    <mergeCell ref="AX30:BB30"/>
    <mergeCell ref="BC30:BK30"/>
    <mergeCell ref="BL30:BR30"/>
    <mergeCell ref="BS30:BT30"/>
    <mergeCell ref="A31:E31"/>
    <mergeCell ref="F31:I31"/>
    <mergeCell ref="J31:M31"/>
    <mergeCell ref="N31:Q31"/>
    <mergeCell ref="R31:V31"/>
    <mergeCell ref="BS29:BT29"/>
    <mergeCell ref="A30:E30"/>
    <mergeCell ref="F30:I30"/>
    <mergeCell ref="J30:M30"/>
    <mergeCell ref="N30:Q30"/>
    <mergeCell ref="R30:V30"/>
    <mergeCell ref="W30:Z30"/>
    <mergeCell ref="AA30:AD30"/>
    <mergeCell ref="AE30:AH30"/>
    <mergeCell ref="AI30:AM30"/>
    <mergeCell ref="AE29:AH29"/>
    <mergeCell ref="AI29:AM29"/>
    <mergeCell ref="AN29:AW29"/>
    <mergeCell ref="AX29:BB29"/>
    <mergeCell ref="BC29:BK29"/>
    <mergeCell ref="BL29:BR29"/>
    <mergeCell ref="BC28:BK28"/>
    <mergeCell ref="BL28:BR28"/>
    <mergeCell ref="BS28:BT28"/>
    <mergeCell ref="A29:E29"/>
    <mergeCell ref="F29:I29"/>
    <mergeCell ref="J29:M29"/>
    <mergeCell ref="N29:Q29"/>
    <mergeCell ref="R29:V29"/>
    <mergeCell ref="W29:Z29"/>
    <mergeCell ref="AA29:AD29"/>
    <mergeCell ref="W28:Z28"/>
    <mergeCell ref="AA28:AD28"/>
    <mergeCell ref="AE28:AH28"/>
    <mergeCell ref="AI28:AM28"/>
    <mergeCell ref="AN28:AW28"/>
    <mergeCell ref="AX28:BB28"/>
    <mergeCell ref="AN27:AW27"/>
    <mergeCell ref="AX27:BB27"/>
    <mergeCell ref="BC27:BK27"/>
    <mergeCell ref="BL27:BR27"/>
    <mergeCell ref="BS27:BT27"/>
    <mergeCell ref="A28:E28"/>
    <mergeCell ref="F28:I28"/>
    <mergeCell ref="J28:M28"/>
    <mergeCell ref="N28:Q28"/>
    <mergeCell ref="R28:V28"/>
    <mergeCell ref="BS26:BT26"/>
    <mergeCell ref="A27:E27"/>
    <mergeCell ref="F27:I27"/>
    <mergeCell ref="J27:M27"/>
    <mergeCell ref="N27:Q27"/>
    <mergeCell ref="R27:V27"/>
    <mergeCell ref="W27:Z27"/>
    <mergeCell ref="AA27:AD27"/>
    <mergeCell ref="AE27:AH27"/>
    <mergeCell ref="AI27:AM27"/>
    <mergeCell ref="AE26:AH26"/>
    <mergeCell ref="AI26:AM26"/>
    <mergeCell ref="AN26:AW26"/>
    <mergeCell ref="AX26:BB26"/>
    <mergeCell ref="BC26:BK26"/>
    <mergeCell ref="BL26:BR26"/>
    <mergeCell ref="AX25:BB25"/>
    <mergeCell ref="BC25:BK25"/>
    <mergeCell ref="BL25:BR25"/>
    <mergeCell ref="A26:E26"/>
    <mergeCell ref="F26:I26"/>
    <mergeCell ref="J26:M26"/>
    <mergeCell ref="N26:Q26"/>
    <mergeCell ref="R26:V26"/>
    <mergeCell ref="W26:Z26"/>
    <mergeCell ref="AA26:AD26"/>
    <mergeCell ref="AA24:AH24"/>
    <mergeCell ref="AI24:AW24"/>
    <mergeCell ref="AX24:BR24"/>
    <mergeCell ref="BS24:BT25"/>
    <mergeCell ref="BU24:BU25"/>
    <mergeCell ref="J25:M25"/>
    <mergeCell ref="AA25:AD25"/>
    <mergeCell ref="AE25:AH25"/>
    <mergeCell ref="AI25:AM25"/>
    <mergeCell ref="AN25:AW25"/>
    <mergeCell ref="A24:E25"/>
    <mergeCell ref="F24:I25"/>
    <mergeCell ref="J24:M24"/>
    <mergeCell ref="N24:Q25"/>
    <mergeCell ref="R24:V25"/>
    <mergeCell ref="W24:Z25"/>
    <mergeCell ref="AE22:AJ22"/>
    <mergeCell ref="AK22:AQ22"/>
    <mergeCell ref="AR22:AW22"/>
    <mergeCell ref="AX22:BD22"/>
    <mergeCell ref="BE22:BK22"/>
    <mergeCell ref="BL22:BU22"/>
    <mergeCell ref="AK21:AQ21"/>
    <mergeCell ref="AR21:AW21"/>
    <mergeCell ref="AX21:BD21"/>
    <mergeCell ref="BE21:BK21"/>
    <mergeCell ref="BL21:BU21"/>
    <mergeCell ref="A22:G22"/>
    <mergeCell ref="H22:N22"/>
    <mergeCell ref="O22:S22"/>
    <mergeCell ref="T22:W22"/>
    <mergeCell ref="X22:AD22"/>
    <mergeCell ref="A21:G21"/>
    <mergeCell ref="H21:N21"/>
    <mergeCell ref="O21:S21"/>
    <mergeCell ref="T21:W21"/>
    <mergeCell ref="X21:AD21"/>
    <mergeCell ref="AE21:AJ21"/>
    <mergeCell ref="AE20:AJ20"/>
    <mergeCell ref="AK20:AQ20"/>
    <mergeCell ref="AR20:AW20"/>
    <mergeCell ref="AX20:BD20"/>
    <mergeCell ref="BE20:BK20"/>
    <mergeCell ref="BL20:BU20"/>
    <mergeCell ref="AK19:AQ19"/>
    <mergeCell ref="AR19:AW19"/>
    <mergeCell ref="AX19:BD19"/>
    <mergeCell ref="BE19:BK19"/>
    <mergeCell ref="BL19:BU19"/>
    <mergeCell ref="A20:G20"/>
    <mergeCell ref="H20:N20"/>
    <mergeCell ref="O20:S20"/>
    <mergeCell ref="T20:W20"/>
    <mergeCell ref="X20:AD20"/>
    <mergeCell ref="AR18:AW18"/>
    <mergeCell ref="AX18:BD18"/>
    <mergeCell ref="BE18:BK18"/>
    <mergeCell ref="BL18:BU18"/>
    <mergeCell ref="A19:G19"/>
    <mergeCell ref="H19:N19"/>
    <mergeCell ref="O19:S19"/>
    <mergeCell ref="T19:W19"/>
    <mergeCell ref="X19:AD19"/>
    <mergeCell ref="AE19:AJ19"/>
    <mergeCell ref="AX17:BD17"/>
    <mergeCell ref="BE17:BK17"/>
    <mergeCell ref="BL17:BU17"/>
    <mergeCell ref="A18:G18"/>
    <mergeCell ref="H18:N18"/>
    <mergeCell ref="O18:S18"/>
    <mergeCell ref="T18:W18"/>
    <mergeCell ref="X18:AD18"/>
    <mergeCell ref="AE18:AJ18"/>
    <mergeCell ref="AK18:AQ18"/>
    <mergeCell ref="BE16:BK16"/>
    <mergeCell ref="BL16:BU16"/>
    <mergeCell ref="A17:G17"/>
    <mergeCell ref="H17:N17"/>
    <mergeCell ref="O17:S17"/>
    <mergeCell ref="T17:W17"/>
    <mergeCell ref="X17:AD17"/>
    <mergeCell ref="AE17:AJ17"/>
    <mergeCell ref="AK17:AQ17"/>
    <mergeCell ref="AR17:AW17"/>
    <mergeCell ref="BE15:BK15"/>
    <mergeCell ref="A16:G16"/>
    <mergeCell ref="H16:N16"/>
    <mergeCell ref="O16:S16"/>
    <mergeCell ref="T16:W16"/>
    <mergeCell ref="X16:AD16"/>
    <mergeCell ref="AE16:AJ16"/>
    <mergeCell ref="AK16:AQ16"/>
    <mergeCell ref="AR16:AW16"/>
    <mergeCell ref="AX16:BD16"/>
    <mergeCell ref="AX14:BK14"/>
    <mergeCell ref="BL14:BU15"/>
    <mergeCell ref="H15:N15"/>
    <mergeCell ref="O15:S15"/>
    <mergeCell ref="T15:W15"/>
    <mergeCell ref="X15:AD15"/>
    <mergeCell ref="AE15:AJ15"/>
    <mergeCell ref="AK15:AQ15"/>
    <mergeCell ref="AR15:AW15"/>
    <mergeCell ref="AX15:BD15"/>
    <mergeCell ref="A14:G15"/>
    <mergeCell ref="H14:N14"/>
    <mergeCell ref="O14:S14"/>
    <mergeCell ref="T14:W14"/>
    <mergeCell ref="X14:AJ14"/>
    <mergeCell ref="AK14:AW14"/>
    <mergeCell ref="A12:K12"/>
    <mergeCell ref="N12:P12"/>
    <mergeCell ref="Q12:AE12"/>
    <mergeCell ref="AI12:AY12"/>
    <mergeCell ref="BB12:BH12"/>
    <mergeCell ref="BI12:BU12"/>
    <mergeCell ref="A10:M10"/>
    <mergeCell ref="O10:Y10"/>
    <mergeCell ref="Z10:AK10"/>
    <mergeCell ref="AP10:BD10"/>
    <mergeCell ref="BF10:BU10"/>
    <mergeCell ref="O11:Y11"/>
    <mergeCell ref="A4:BU4"/>
    <mergeCell ref="A5:AA6"/>
    <mergeCell ref="AB5:AZ6"/>
    <mergeCell ref="BA5:BU6"/>
    <mergeCell ref="A8:M8"/>
    <mergeCell ref="O8:Y8"/>
    <mergeCell ref="Z8:AD8"/>
    <mergeCell ref="AE8:AK8"/>
    <mergeCell ref="AP8:BD8"/>
    <mergeCell ref="BF8:BU8"/>
    <mergeCell ref="A1:AA3"/>
    <mergeCell ref="AB1:AZ1"/>
    <mergeCell ref="BA1:BU1"/>
    <mergeCell ref="AB2:AN3"/>
    <mergeCell ref="AO2:AZ3"/>
    <mergeCell ref="BA2:BU3"/>
  </mergeCells>
  <dataValidations count="1">
    <dataValidation showDropDown="1" showInputMessage="1" showErrorMessage="1" sqref="O11:Y11 N12 AH12 BB12" xr:uid="{2E7D9D59-59DA-4DDD-B984-4D3B4A9D4F4B}"/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ESTADISTICA</vt:lpstr>
      <vt:lpstr>'HOJA ESTADISTICA'!Área_de_impresión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Chuquimia</dc:creator>
  <cp:lastModifiedBy>Andres Chuquimia</cp:lastModifiedBy>
  <dcterms:created xsi:type="dcterms:W3CDTF">2026-03-15T20:25:31Z</dcterms:created>
  <dcterms:modified xsi:type="dcterms:W3CDTF">2026-03-15T20:49:22Z</dcterms:modified>
</cp:coreProperties>
</file>